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 HOW TO ADD TO THIS LIST ⚠️" sheetId="2" r:id="rId6"/>
    <sheet state="visible" name="All Working Modules View" sheetId="3" r:id="rId7"/>
  </sheets>
  <definedNames>
    <definedName name="works">'Form responses 1'!$H:$H</definedName>
    <definedName name="headers">'Form responses 1'!$B$1:$M$1</definedName>
    <definedName name="model">'Form responses 1'!$B:$B</definedName>
    <definedName name="data">'Form responses 1'!$B:$M</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681">
      <text>
        <t xml:space="preserve">Responder updated this value.</t>
      </text>
    </comment>
    <comment authorId="0" ref="E35">
      <text>
        <t xml:space="preserve">Responder updated this value.</t>
      </text>
    </comment>
    <comment authorId="0" ref="K681">
      <text>
        <t xml:space="preserve">Responder updated this value.</t>
      </text>
    </comment>
    <comment authorId="0" ref="L41">
      <text>
        <t xml:space="preserve">Responder updated this value.</t>
      </text>
    </comment>
    <comment authorId="0" ref="N330">
      <text>
        <t xml:space="preserve">Responder updated this value.</t>
      </text>
    </comment>
    <comment authorId="0" ref="C158">
      <text>
        <t xml:space="preserve">Responder updated this value.</t>
      </text>
    </comment>
    <comment authorId="0" ref="L423">
      <text>
        <t xml:space="preserve">Responder updated this value.</t>
      </text>
    </comment>
    <comment authorId="0" ref="S910">
      <text>
        <t xml:space="preserve">Responder updated this value.</t>
      </text>
    </comment>
    <comment authorId="0" ref="I899">
      <text>
        <t xml:space="preserve">Responder updated this value.</t>
      </text>
    </comment>
    <comment authorId="0" ref="J35">
      <text>
        <t xml:space="preserve">Responder updated this value.</t>
      </text>
    </comment>
    <comment authorId="0" ref="J899">
      <text>
        <t xml:space="preserve">Responder updated this value.</t>
      </text>
    </comment>
    <comment authorId="0" ref="L610">
      <text>
        <t xml:space="preserve">Responder updated this value.</t>
      </text>
    </comment>
    <comment authorId="0" ref="J895">
      <text>
        <t xml:space="preserve">Responder updated this value.</t>
      </text>
    </comment>
    <comment authorId="0" ref="J733">
      <text>
        <t xml:space="preserve">Responder updated this value.</t>
      </text>
    </comment>
    <comment authorId="0" ref="C565">
      <text>
        <t xml:space="preserve">Responder updated this value.</t>
      </text>
    </comment>
    <comment authorId="0" ref="N1024">
      <text>
        <t xml:space="preserve">Responder updated this value.</t>
      </text>
    </comment>
    <comment authorId="0" ref="B1009">
      <text>
        <t xml:space="preserve">Responder updated this value.</t>
      </text>
    </comment>
    <comment authorId="0" ref="S1024">
      <text>
        <t xml:space="preserve">Responder updated this value.</t>
      </text>
    </comment>
    <comment authorId="0" ref="J371">
      <text>
        <t xml:space="preserve">Responder updated this value.</t>
      </text>
    </comment>
    <comment authorId="0" ref="E330">
      <text>
        <t xml:space="preserve">Responder updated this value.</t>
      </text>
    </comment>
    <comment authorId="0" ref="C196">
      <text>
        <t xml:space="preserve">Responder updated this value.</t>
      </text>
    </comment>
  </commentList>
</comments>
</file>

<file path=xl/sharedStrings.xml><?xml version="1.0" encoding="utf-8"?>
<sst xmlns="http://schemas.openxmlformats.org/spreadsheetml/2006/main" count="11442" uniqueCount="2426">
  <si>
    <t>SUBMIT YOUR RESPONSES USING THIS FORM LINK ➡️</t>
  </si>
  <si>
    <t>https://forms.gle/m4omgupxV6eevuFf7</t>
  </si>
  <si>
    <t>DS923+</t>
  </si>
  <si>
    <t>&lt;- TYPE YOUR NAS MODEL HERE TO FILTER, Displays memory modules marked as working</t>
  </si>
  <si>
    <r>
      <rPr>
        <b/>
      </rPr>
      <t xml:space="preserve">FEEDBACK? ➡️ </t>
    </r>
    <r>
      <rPr>
        <b/>
        <color rgb="FF1155CC"/>
        <u/>
      </rPr>
      <t>Send message</t>
    </r>
  </si>
  <si>
    <t>Timestamp</t>
  </si>
  <si>
    <t>Synology NAS model</t>
  </si>
  <si>
    <t>DSM version</t>
  </si>
  <si>
    <t>Memory brand tested</t>
  </si>
  <si>
    <t>Memory model number/product code tested</t>
  </si>
  <si>
    <t>Number of memory modules tested</t>
  </si>
  <si>
    <t>Total system memory (GB)</t>
  </si>
  <si>
    <t>Does it work?</t>
  </si>
  <si>
    <t>Warning about unofficial memory in the UI?</t>
  </si>
  <si>
    <t>Any other notes?</t>
  </si>
  <si>
    <t>Your Reddit, Lemmy, X, or Bluesky username</t>
  </si>
  <si>
    <t>Vendor Country</t>
  </si>
  <si>
    <t>GO TO File -&gt; Make a copy, OR File -&gt; Download, SO YOU CAN EDIT AND USE THIS FILTER YOURSELF</t>
  </si>
  <si>
    <t>Vendor</t>
  </si>
  <si>
    <t>DMI Decode</t>
  </si>
  <si>
    <t>Is the module ECC (error-correcting)?</t>
  </si>
  <si>
    <t>Size of module (GB)</t>
  </si>
  <si>
    <t>Speed of module (MHz)</t>
  </si>
  <si>
    <t>DDR version of module</t>
  </si>
  <si>
    <t>Rank type of module</t>
  </si>
  <si>
    <t>Email for updates?</t>
  </si>
  <si>
    <t>7.2.1-69057 Update 3</t>
  </si>
  <si>
    <t>Kingston</t>
  </si>
  <si>
    <t>KSM26SED8/16HD</t>
  </si>
  <si>
    <t>Yes</t>
  </si>
  <si>
    <t>woieieyfwoeo</t>
  </si>
  <si>
    <t>UK</t>
  </si>
  <si>
    <t>www.ballicom.co.uk</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</si>
  <si>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Asset Tag: Not Specified
Part Number: 9965657-035.A00G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Asset Tag: Not Specified
Part Number: 9965657-035.A00G
Rank: 2
Configured Memory Speed: 2400 MT/s
Minimum Voltage: 1.2 V
Maximum Voltage: 1.2 V
Configured Voltage: 1.2 V</t>
  </si>
  <si>
    <t>DDR4</t>
  </si>
  <si>
    <t>2R</t>
  </si>
  <si>
    <t>DS920+</t>
  </si>
  <si>
    <t>7.1.1-42962 Update 3</t>
  </si>
  <si>
    <t>Crucial</t>
  </si>
  <si>
    <t>CT16G4SFD8266</t>
  </si>
  <si>
    <t>No</t>
  </si>
  <si>
    <t>juanmanuelbc</t>
  </si>
  <si>
    <t>DS1621+</t>
  </si>
  <si>
    <t>CT2K16G4SFRA266</t>
  </si>
  <si>
    <t>Hawkeye-4077</t>
  </si>
  <si>
    <t>DS1821+</t>
  </si>
  <si>
    <t>7.1.1-42962 Update 2</t>
  </si>
  <si>
    <t>NEMIX</t>
  </si>
  <si>
    <t>M474A2K43BB1-CTD</t>
  </si>
  <si>
    <t>lastnerdstanding</t>
  </si>
  <si>
    <t>amazon.com</t>
  </si>
  <si>
    <t>7.1.1-42962 Update 1</t>
  </si>
  <si>
    <t>KCP426SD8/32</t>
  </si>
  <si>
    <t>Keinoom</t>
  </si>
  <si>
    <t>DS1621xs+</t>
  </si>
  <si>
    <t>KSM26SED8/32ME</t>
  </si>
  <si>
    <t>slavik-f</t>
  </si>
  <si>
    <t>CT4G4SFS8266</t>
  </si>
  <si>
    <t>AssKoala</t>
  </si>
  <si>
    <t>CT16G4SFRA266</t>
  </si>
  <si>
    <t>Round_Mastodon8660</t>
  </si>
  <si>
    <t>DS918+</t>
  </si>
  <si>
    <t>7.1.1-42962</t>
  </si>
  <si>
    <t>A-Tech</t>
  </si>
  <si>
    <t>D3NS1866L-4G</t>
  </si>
  <si>
    <t>Keystroke13</t>
  </si>
  <si>
    <t>DS420+</t>
  </si>
  <si>
    <t>7.0.1-42218 Update 2</t>
  </si>
  <si>
    <t>CT8G4SFRA266</t>
  </si>
  <si>
    <t>badder_eend</t>
  </si>
  <si>
    <t>6.2.4-25556 Update 5</t>
  </si>
  <si>
    <t>TIMETEC</t>
  </si>
  <si>
    <t>TIMETEC-ESD4-2666</t>
  </si>
  <si>
    <t>your_fav_ant</t>
  </si>
  <si>
    <t>DS718+</t>
  </si>
  <si>
    <t>CT102464BF186D</t>
  </si>
  <si>
    <t>V1r1m0nd3</t>
  </si>
  <si>
    <t>KCP426SS8/8</t>
  </si>
  <si>
    <t>LawfulnessNice3590</t>
  </si>
  <si>
    <t>RS3617xs+</t>
  </si>
  <si>
    <t>B09G45XJPQ</t>
  </si>
  <si>
    <t>ZachsBack1</t>
  </si>
  <si>
    <t>DS1019+</t>
  </si>
  <si>
    <t>CT2KIT102464BF160B</t>
  </si>
  <si>
    <t>sploittastic</t>
  </si>
  <si>
    <t>benbrooks</t>
  </si>
  <si>
    <t>Corsair</t>
  </si>
  <si>
    <t>CMSX16GX3M2C1866C11</t>
  </si>
  <si>
    <t>won't boot</t>
  </si>
  <si>
    <t>Arch Memory</t>
  </si>
  <si>
    <t>AM32GB2666SOEC-TM001</t>
  </si>
  <si>
    <t>mrcaptncrunch</t>
  </si>
  <si>
    <t>archmemory.com</t>
  </si>
  <si>
    <t>France</t>
  </si>
  <si>
    <t>Refurb</t>
  </si>
  <si>
    <t>RS1221+</t>
  </si>
  <si>
    <t>SY16GB2666SOECr2b8-t001</t>
  </si>
  <si>
    <t>https://archmemory.com</t>
  </si>
  <si>
    <t>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FFFFFFFF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FFFFFFFF
Asset Tag: Not Specified
Part Number: Unknown
Rank: 2
Configured Memory Speed: 2400 MT/s
Minimum Voltage: 1.2 V
Maximum Voltage: 1.2 V
Configured Voltage: 1.2 V</t>
  </si>
  <si>
    <t>DS1819+</t>
  </si>
  <si>
    <t>6.2.4-25556 Update 6</t>
  </si>
  <si>
    <t>Micron</t>
  </si>
  <si>
    <t>MTA9ASF2G72HZ-3G2R</t>
  </si>
  <si>
    <t>Germany</t>
  </si>
  <si>
    <t>shop.crucial.de</t>
  </si>
  <si>
    <t>Acceptable-Lemonade</t>
  </si>
  <si>
    <t>newegg.com</t>
  </si>
  <si>
    <t>SK Hynix</t>
  </si>
  <si>
    <t>HMA82GS6CJR8N-VK</t>
  </si>
  <si>
    <t>eBay</t>
  </si>
  <si>
    <t>DaveR007</t>
  </si>
  <si>
    <t>USA</t>
  </si>
  <si>
    <t>crucial.com</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</si>
  <si>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Micron Technology
Serial Number: 3CE77A1C
Asset Tag: Not Specified
Part Number: 9ASF2G72HZ-3G2B2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Micron Technology
Serial Number: 3CE77A38
Asset Tag: Not Specified
Part Number: 9ASF2G72HZ-3G2B2
Rank: 1
Configured Memory Speed: 2400 MT/s
Minimum Voltage: 1.2 V
Maximum Voltage: 1.2 V
Configured Voltage: 1.2 V</t>
  </si>
  <si>
    <t>KF432S20IBK2/64</t>
  </si>
  <si>
    <t>Trilobyte75</t>
  </si>
  <si>
    <t>Amazon.com</t>
  </si>
  <si>
    <t>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32 GB
Form Factor: SODIMM
Set: None
Locator: DIMM 0
Bank Locator: P0 CHANNEL A
Type: DDR4
Type Detail: Synchronous Unbuffered (Unregistered)
Speed: 3200 MT/s
Manufacturer: Kingston
Serial Number: BFA29308
Asset Tag: Not Specified
Part Number: KF3200C20S4/32GX
Rank: 2
Configured Memory Speed: 2400 MT/s
Minimum Voltage: 1.2 V
Maximum Voltage: 1.2 V
Configured Voltage: 1.2 V
Handle 0x0020, DMI type 17, 40 bytes
Memory Device
Array Handle: 0x001E
Error Information Handle: 0x0023
Total Width: 64 bits
Data Width: 64 bits
Size: 32 GB
Form Factor: SODIMM
Set: None
Locator: DIMM 0
Bank Locator: P0 CHANNEL B
Type: DDR4
Type Detail: Synchronous Unbuffered (Unregistered)
Speed: 3200 MT/s
Manufacturer: Kingston
Serial Number: D7A2958B
Asset Tag: Not Specified
Part Number: KF3200C20S4/32GX
Rank: 2
Configured Memory Speed: 2400 MT/s
Minimum Voltage: 1.2 V
Maximum Voltage: 1.2 V
Configured Voltage: 1.2 V</t>
  </si>
  <si>
    <t>DS720+</t>
  </si>
  <si>
    <t>Samsung</t>
  </si>
  <si>
    <t>M471A1K43CB1-CTD</t>
  </si>
  <si>
    <t>u/No-Leather-8980</t>
  </si>
  <si>
    <t>amazon.de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</si>
  <si>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Samsung
Serial Number: Asset Tag:
Part Number: M471A1K43CB1-CTD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</si>
  <si>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DS220+</t>
  </si>
  <si>
    <t>RLMM_</t>
  </si>
  <si>
    <t>Don't Know</t>
  </si>
  <si>
    <t>Hynix</t>
  </si>
  <si>
    <t>HMA82GS7CJR8N-VK</t>
  </si>
  <si>
    <t>Mr-Dogg</t>
  </si>
  <si>
    <t>Canada/USA</t>
  </si>
  <si>
    <t>Newegg</t>
  </si>
  <si>
    <t>v-Color</t>
  </si>
  <si>
    <t>TES416G26D819K-VKC</t>
  </si>
  <si>
    <t>CT2K102464BF186D</t>
  </si>
  <si>
    <t>cliffz0rz</t>
  </si>
  <si>
    <t>Canada</t>
  </si>
  <si>
    <t>amazon.ca</t>
  </si>
  <si>
    <t>DS723+</t>
  </si>
  <si>
    <t>Berend Otten</t>
  </si>
  <si>
    <t>Netherlands</t>
  </si>
  <si>
    <t>https://www.coolblue.nl/</t>
  </si>
  <si>
    <t>DIMM only has 4 chips so I think this is single channel</t>
  </si>
  <si>
    <t>monti55</t>
  </si>
  <si>
    <t>KSM26SES8/8HD</t>
  </si>
  <si>
    <t>Same Kingston ECC on another 1221 cluster works equally well</t>
  </si>
  <si>
    <t>orangehand</t>
  </si>
  <si>
    <t>Kingston direct</t>
  </si>
  <si>
    <t>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8192 MB
Form Factor: SODIMM
Set: None
Locator: DIMM 0
Bank Locator: P0 CHANNEL A
Type: DDR4
Type Detail: Synchronous Unbuffered (Unregistered)
Speed: 2667 MT/s
Manufacturer: Kingston
Serial Number: 6336E64D
Asset Tag: Not Specified
Part Number: 9965646-036.B00G
Rank: 1
Configured Memory Speed: 2400 MT/s
Minimum Voltage: 1.2 V
Maximum Voltage: 1.2 V
Configured Voltage: 1.2 V
Handle 0x0020, DMI type 17, 40 bytes
Memory Device
Array Handle: 0x001E
Error Information Handle: 0x0023
Total Width: 72 bits
Data Width: 64 bits
Size: 8192 MB
Form Factor: SODIMM
Set: None
Locator: DIMM 0
Bank Locator: P0 CHANNEL B
Type: DDR4
Type Detail: Synchronous Unbuffered (Unregistered)
Speed: 2667 MT/s
Manufacturer: Kingston
Serial Number: FFF6E7EE
Asset Tag: Not Specified
Part Number: 9965646-036.B00G
Rank: 1
Configured Memory Speed: 2400 MT/s
Minimum Voltage: 1.2 V
Maximum Voltage: 1.2 V
Configured Voltage: 1.2 V</t>
  </si>
  <si>
    <t>CMSX16GX4M1A2666C18</t>
  </si>
  <si>
    <t>ahhlok</t>
  </si>
  <si>
    <t>Singapore</t>
  </si>
  <si>
    <t>https://www.amazon.sg/</t>
  </si>
  <si>
    <t>CT8G4SFRA32A</t>
  </si>
  <si>
    <t>DS1515+</t>
  </si>
  <si>
    <t>M471B5173DB0-YK0</t>
  </si>
  <si>
    <t>Finland</t>
  </si>
  <si>
    <t>KVR26S19D8/16</t>
  </si>
  <si>
    <t>Labidou51</t>
  </si>
  <si>
    <t>alternate.de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</si>
  <si>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AD5AD327
Asset Tag:
Part Number: 99U5663-007.A00G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</si>
  <si>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D4ECSO-2666-16G_TT</t>
  </si>
  <si>
    <t>79TT26EUS2R8</t>
  </si>
  <si>
    <t>ComputerDavid</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</si>
  <si>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000008B2
Asset Tag:
Part Number: TIMETEC-SD4-2666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</si>
  <si>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MSE21300-628K02-G</t>
  </si>
  <si>
    <t>zangieflookingmofo</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</si>
  <si>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0012FE43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0012FDDE
Asset Tag: Not Specified
Part Number: Unknown
Rank: 2
Configured Memory Speed: 2400 MT/s
Minimum Voltage: 1.2 V
Maximum Voltage: 1.2 V
Configured Voltage: 1.2 V</t>
  </si>
  <si>
    <t>Amazon.fr</t>
  </si>
  <si>
    <t>DS1522+</t>
  </si>
  <si>
    <t>Discovered bad DIMM slot on unit, RMA'd.</t>
  </si>
  <si>
    <t>nulldevice668</t>
  </si>
  <si>
    <t>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066D
Serial Number: 00000000
Asset Tag: Not Specified
Part Number: TES416G26D819K-VKC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066D
Serial Number: 00000000
Asset Tag: Not Specified
Part Number: TES416G26D819K-VKC
Rank: 2
Configured Memory Speed: 2400 MT/s
Minimum Voltage: 1.2 V
Maximum Voltage: 1.2 V
Configured Voltage: 1.2 V</t>
  </si>
  <si>
    <t>D4ECSO-2666-16G</t>
  </si>
  <si>
    <t>Brand uses Synology's Part Number D4ECSO-2666-16G</t>
  </si>
  <si>
    <t>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2230116B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03173A05
Asset Tag: Not Specified
Part Number: Unknown
Rank: 2
Configured Memory Speed: 2400 MT/s
Minimum Voltage: 1.2 V
Maximum Voltage: 1.2 V
Configured Voltage: 1.2 V</t>
  </si>
  <si>
    <t>7.1.1-42962 Update 4</t>
  </si>
  <si>
    <t>CT8G4SFS824A</t>
  </si>
  <si>
    <t>Batfu</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</si>
  <si>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859B
Serial Number: E7D13008
Asset Tag:
Part Number: CT8G4SFS824A.M8FJ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</si>
  <si>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Teamgroup</t>
  </si>
  <si>
    <t>TED48G2666C19-S01</t>
  </si>
  <si>
    <t>bz16233</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</si>
  <si>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04EF
Serial Number: 0104B77F
Asset Tag: Part Number: TEAMGROUP-SD4-2666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</si>
  <si>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M474A2K43BB1-CPBQ</t>
  </si>
  <si>
    <t>drunkonmilk</t>
  </si>
  <si>
    <t>Australia</t>
  </si>
  <si>
    <t>eBay.com.au</t>
  </si>
  <si>
    <t>Computeruniverse #90788152</t>
  </si>
  <si>
    <t>KTL-TN426E/16G</t>
  </si>
  <si>
    <t>memtest took 6 hours, reported "Illegal memory layout: 64" and "Memtest passed!"</t>
  </si>
  <si>
    <t>mackman</t>
  </si>
  <si>
    <t>CDW (drop-shipped from Kingston)</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</si>
  <si>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6314AC0B
Asset Tag: Not Specified
Part Number: 9965657-035.A00G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5814AC2D
Asset Tag: Not Specified
Part Number: 9965657-035.A00G Rank: 2
Configured Memory Speed: 2400 MT/s
Minimum Voltage: 1.2 V
Maximum Voltage: 1.2 V
Configured Voltage: 1.2 V</t>
  </si>
  <si>
    <t>CT16G4SFS8266.C8FB</t>
  </si>
  <si>
    <t>miguelfa2000</t>
  </si>
  <si>
    <t>Brazil</t>
  </si>
  <si>
    <t>kabum.com.br</t>
  </si>
  <si>
    <t># dmidecode 3.2
Getting SMBIOS data from sysfs.
SMBIOS 2.8 present.
Handle 0x0014, DMI type 16, 23 bytes
Physical Memory Array
Location: System Board Or Motherboard
Use: System Memory
Error Correction Type: Single-bit ECC
Maximum Capacity: 32 GB
Error Information Handle: No Error
Number Of Devices: 2
Handle 0x0015, DMI type 17, 40 bytes
Memory Device
Array Handle: 0x0014
Error Information Handle: No Error
Total Width: 64 bits
Data Width: 64 bits
Size: 16384 MB
Form Factor: SODIMM
Set: None
Locator: DIMM0
Bank Locator: BANK 1
Type: DDR4
Type Detail: Synchronous
Speed: 2666 MT/s
Manufacturer: 859B
Serial Number: E443B3FC
Asset Tag: 01
Part Number: CT16G4SFS8266.C8FB Rank: 1
Configured Memory Speed: 2133 MT/s
Minimum Voltage: 1.2 V
Maximum Voltage: 1.2 V
Configured Voltage: 1.2 V
Handle 0x0016, DMI type 17, 40 bytes
Memory Device
Array Handle: 0x0014
Error Information Handle: No Error
Total Width: 64 bits
Data Width: 64 bits
Size: 16384 MB
Form Factor: SODIMM
Set: None
Locator: DIMM1
Bank Locator: BANK 0
Type: DDR4
Type Detail: Synchronous
Speed: 2666 MT/s
Manufacturer: 859B
Serial Number: E443BC45
Asset Tag: 02
Part Number: CT16G4SFS8266.C8FB Rank: 1
Configured Memory Speed: 2133 MT/s
Minimum Voltage: 1.2 V
Maximum Voltage: 1.2 V
Configured Voltage: 1.2 V</t>
  </si>
  <si>
    <t>KSM32SED8/32HC</t>
  </si>
  <si>
    <t>jan_marcus</t>
  </si>
  <si>
    <t>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06F1
Serial Number: 1E5302B9
Asset Tag: Not Specified
Part Number: M4DE-4GSSPC0M-F
Rank: 1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3200 MT/s
Manufacturer: Kingston
Serial Number: 337E0806
Asset Tag: Not Specified
Part Number: 9965657-052.A00G
Rank: 2
Configured Memory Speed: 2400 MT/s
Minimum Voltage: 1.2 V
Maximum Voltage: 1.2 V
Configured Voltage: 1.2 V</t>
  </si>
  <si>
    <t>RS3614xs</t>
  </si>
  <si>
    <t>M391B1G73QH0-YK0</t>
  </si>
  <si>
    <t>Justanothebloke</t>
  </si>
  <si>
    <t>Handle 0x0005, DMI type 5, 24 bytes
Memory Controller Information
Error Detecting Method: None
Error Correcting Capabilities:
None
Supported Interleave: One-way Interleave
Current Interleave: One-way Interleave
Maximum Memory Module Size: 8192 MB
Maximum Total Memory Size: 32768 MB
Supported Speeds:
Other
Supported Memory Types:
Other
Memory Module Voltage: Unknown
Associated Memory Slots: 4
0x0006
0x0007
0x0008
0x0009
Enabled Error Correcting Capabilities:
None
Handle 0x0006, DMI type 6, 12 bytes
Memory Module Information
Socket Designation: DIMM0
Bank Connections: None
Current Speed: Unknown
Type: DIMM
Installed Size: 8192 MB (Single-bank Connection)
Enabled Size: 8192 MB (Single-bank Connection)
Error Status: OK
Handle 0x0034, DMI type 17, 34 bytes
Memory Device
Array Handle: 0x0033
Error Information Handle: 0x0038
Total Width: 128 bits
Data Width: 64 bits
Size: 8192 MB
Form Factor: DIMM
Set: None
Locator: DIMM0
Bank Locator: BANK 0
Type: DDR3
Type Detail: Synchronous
Speed: 1600 MT/s
Manufacturer: Samsung
Serial Number:
Asset Tag: Unknown
Part Number: M391B1G73QH0-YK0
Rank: 2
Configured Memory Speed: 1600 MT/s</t>
  </si>
  <si>
    <t>MTA18ASF2G72HZ-2G6E4R</t>
  </si>
  <si>
    <t>Massive_Ad935</t>
  </si>
  <si>
    <t>Scorpion Technology</t>
  </si>
  <si>
    <t>reader-uk</t>
  </si>
  <si>
    <t>Amazon</t>
  </si>
  <si>
    <t>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637E168E
Asset Tag: Not Specified
Part Number: 9965657-035.A00G Rank: 2
Configured Memory Speed: 2400 MT/s
Minimum Voltage: 1.2 V
Maximum Voltage: 1.2 V
Configured Voltage: 1.2 V</t>
  </si>
  <si>
    <t>KCP426SD8/16</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</si>
  <si>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B16C908A
Asset Tag:
Part Number: 9905744-109.A00G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</si>
  <si>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johnkelly03</t>
  </si>
  <si>
    <t>Microcenter</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</si>
  <si>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2667 MT/s
Manufacturer: 059B
Serial Number: E75C22FF
Asset Tag: Not Specified
Part Number: CT16G4SFRA266.C8FE Rank: 1
Configured Memory Speed: 2400 MT/s
Minimum Voltage: 1.2 V
Maximum Voltage: 1.2 V
Configured Voltage: 1.2 V
Handle 0x0020, DMI type 17, 40 bytes
Memory Device
Array Handle: 0x001E
Error Information Handle: 0x0023
Total Width: Unknown
Data Width: Unknown
Size: No Module Installed
Form Factor: Unknown
Set: None
Locator: DIMM 0
Bank Locator: P0 CHANNEL B
Type: Unknown
Type Detail: Unknown
Speed: Unknown
Manufacturer: 0000
Serial Number: Unknown
Asset Tag: Not Specified
Part Number: Unknown
Rank: Unknown
Configured Memory Speed: Unknown
Minimum Voltage: Unknown
Maximum Voltage: Unknown
Configured Voltage: Unknown</t>
  </si>
  <si>
    <t>Amazon.ca</t>
  </si>
  <si>
    <t>SureRock</t>
  </si>
  <si>
    <t>Sweden</t>
  </si>
  <si>
    <t>computersalg.se</t>
  </si>
  <si>
    <t>CT32G4SFD8266</t>
  </si>
  <si>
    <t>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32 GB
Form Factor: SODIMM
Set: None
Locator: DIMM 0
Bank Locator: P0 CHANNEL A
Type: DDR4
Type Detail: Synchronous Unbuffered (Unregistered)
Speed: 2667 MT/s
Manufacturer: 059B
Serial Number: E5FB181C
Asset Tag: Not Specified
Part Number: CT32G4SFD8266.C16FB
Rank: 2
Configured Memory Speed: 2400 MT/s
Minimum Voltage: 1.2 V
Maximum Voltage: 1.2 V
Configured Voltage: 1.2 V
Handle 0x0020, DMI type 17, 40 bytes
Memory Device
Array Handle: 0x001E
Error Information Handle: 0x0023
Total Width: 64 bits
Data Width: 64 bits
Size: 32 GB
Form Factor: SODIMM
Set: None
Locator: DIMM 0
Bank Locator: P0 CHANNEL B
Type: DDR4
Type Detail: Synchronous Unbuffered (Unregistered)
Speed: 2667 MT/s
Manufacturer: 059B
Serial Number: E5FB181C
Asset Tag: Not Specified
Part Number: CT32G4SFD8266.C16FB
Rank: 2
Configured Memory Speed: 2400 MT/s
Minimum Voltage: 1.2 V
Maximum Voltage: 1.2 V
Configured Voltage: 1.2 V</t>
  </si>
  <si>
    <t>DVA3221</t>
  </si>
  <si>
    <t>CT2K16G4SFD8266</t>
  </si>
  <si>
    <t>amazon.fr</t>
  </si>
  <si>
    <t># dmidecode 3.2
Getting SMBIOS data from sysfs.
SMBIOS 2.8 present.
Handle 0x0014, DMI type 16, 23 bytes
Physical Memory Array
Location: System Board Or Motherboard
Use: System Memory
Error Correction Type: Single-bit ECC
Maximum Capacity: 32 GB
Error Information Handle: No Error
Number Of Devices: 2
Handle 0x0015, DMI type 17, 40 bytes
Memory Device
Array Handle: 0x0014
Error Information Handle: No Error
Total Width: 64 bits
Data Width: 64 bits
Size: 16384 MB
Form Factor: SODIMM
Set: None
Locator: DIMM0
Bank Locator: BANK 1
Type: DDR4
Type Detail: Synchronous
Speed: 2666 MT/s
Manufacturer: 859B
Serial Number: E719A537
Asset Tag: 01
Part Number: CT16G4SFD8266.C16FN
Rank: 2
Configured Memory Speed: 2133 MT/s
Minimum Voltage: 1.2 V
Maximum Voltage: 1.2 V
Configured Voltage: 1.2 V
Handle 0x0016, DMI type 17, 40 bytes
Memory Device
Array Handle: 0x0014
Error Information Handle: No Error
Total Width: 64 bits
Data Width: 64 bits
Size: 16384 MB
Form Factor: SODIMM
Set: None
Locator: DIMM1
Bank Locator: BANK 0
Type: DDR4
Type Detail: Synchronous
Speed: 2666 MT/s
Manufacturer: 859B
Serial Number: E719A0BA
Asset Tag: 02
Part Number: CT16G4SFD8266.C16FN
Rank: 2
Configured Memory Speed: 2133 MT/s
Minimum Voltage: 1.2 V
Maximum Voltage: 1.2 V
Configured Voltage: 1.2 V</t>
  </si>
  <si>
    <t>PayFlow</t>
  </si>
  <si>
    <t>KVR26S19S6/4</t>
  </si>
  <si>
    <t>stylon69</t>
  </si>
  <si>
    <t>amazon.co.uk</t>
  </si>
  <si>
    <t>KVR26S19S6/8</t>
  </si>
  <si>
    <t>Full Name: Kingston ValueRAM 8GB 2666MHz DDR4 NonECC CL19 SODIMM 1Rx16 1.2V</t>
  </si>
  <si>
    <t>PRPGNDPND</t>
  </si>
  <si>
    <t>RS822+</t>
  </si>
  <si>
    <t>HP (Hynix)</t>
  </si>
  <si>
    <t>HMA82GS7CJR8N</t>
  </si>
  <si>
    <t>HP memory for server/workstation made by Hynix</t>
  </si>
  <si>
    <t>Enderbender3rd</t>
  </si>
  <si>
    <t>Romania</t>
  </si>
  <si>
    <t>KSM26SED8/16MR</t>
  </si>
  <si>
    <t>I ran the memory test 3 times (paranoia), so it definitely works. You just need to put up with the unofficial memory warning each time you reboot, but who cares! :D</t>
  </si>
  <si>
    <t>bagdrop</t>
  </si>
  <si>
    <t>www.buykingston.co.uk (however, I don't recommend this seller due to problems with the delivery)</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</si>
  <si>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[redacted]
	Asset Tag: Not Specified
	Part Number: 9965657-055.A00G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[redacted]
	Asset Tag: Not Specified
	Part Number: 9965657-055.A00G
	Rank: 2
	Configured Memory Speed: 2400 MT/s
	Minimum Voltage: 1.2 V
	Maximum Voltage: 1.2 V
	Configured Voltage: 1.2 V</t>
  </si>
  <si>
    <t>Kingston Fury</t>
  </si>
  <si>
    <t>MZV7S250BAM</t>
  </si>
  <si>
    <t>r/bloky246</t>
  </si>
  <si>
    <t>b&amp;h online</t>
  </si>
  <si>
    <t>CT16G4SFD824A.C16FDD</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</si>
  <si>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2400 MT/s
Manufacturer: 059B
Serial Number: E34F9047
Asset Tag: Not Specified
Part Number: CT16G4SFD824A.C16FDD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2400 MT/s
Manufacturer: 059B
Serial Number: E34F9012
Asset Tag: Not Specified
Part Number: CT16G4SFD824A.C16FDD
Rank: 2
Configured Memory Speed: 2400 MT/s
Minimum Voltage: 1.2 V
Maximum Voltage: 1.2 V
Configured Voltage: 1.2 V</t>
  </si>
  <si>
    <t>fsteff</t>
  </si>
  <si>
    <t>Denmark</t>
  </si>
  <si>
    <t>proshop.dk</t>
  </si>
  <si>
    <t>DS3622xs+</t>
  </si>
  <si>
    <t>Sparjunkie</t>
  </si>
  <si>
    <t>7.2 Beta</t>
  </si>
  <si>
    <t>KTD-PN426E/16G</t>
  </si>
  <si>
    <t>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337E1957
Asset Tag: Not Specified
Part Number: 9965657-035.A00G
Rank: 2
Configured Memory Speed: 2400 MT/s
Minimum Voltage: 1.2 V
Maximum Voltage: 1.2 V
Configured Voltage: 1.2 V</t>
  </si>
  <si>
    <t>CT16G4SFRA266.M16FR</t>
  </si>
  <si>
    <t>amazon</t>
  </si>
  <si>
    <t>Ran memory test, took about 6 hours. Result: Memtest passed!</t>
  </si>
  <si>
    <t>been_here</t>
  </si>
  <si>
    <t>www.amazon.com</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</si>
  <si>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066D
	Serial Number: 00000000
	Asset Tag: Not Specified
	Part Number: TES416G26D819K-VKC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066D
	Serial Number: 00000000
	Asset Tag: Not Specified
	Part Number: TES416G26D819K-VKC
	Rank: 2
	Configured Memory Speed: 2400 MT/s
	Minimum Voltage: 1.2 V
	Maximum Voltage: 1.2 V
	Configured Voltage: 1.2 V</t>
  </si>
  <si>
    <t>CT8G4SFS8266</t>
  </si>
  <si>
    <t>Guiche01</t>
  </si>
  <si>
    <t>TEAMGROUP</t>
  </si>
  <si>
    <t>TED416G2666C19-S01</t>
  </si>
  <si>
    <t>M471A2K43EB1-CWE</t>
  </si>
  <si>
    <t>16GB 2Rx8 PC4-3200AA-SE1-11</t>
  </si>
  <si>
    <t>Thailand</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</si>
  <si>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06F1
Serial Number: ******
Asset Tag: Not Specified
Part Number: M4DE-4GSSPC0M-F Rank: 1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Samsung
Serial Number: ******
Asset Tag: Not Specified
Part Number: Unknown
Rank: 2
Configured Memory Speed: 2400 MT/s
Minimum Voltage: 1.2 V
Maximum Voltage: 1.2 V
Configured Voltage: 1.2 V</t>
  </si>
  <si>
    <t>7.1.1-42962 Update 4'</t>
  </si>
  <si>
    <t>7.1.1-42962 update 4</t>
  </si>
  <si>
    <t>ryoonc</t>
  </si>
  <si>
    <t>CMSX32GX4M2A266C18</t>
  </si>
  <si>
    <t>Can find it on eBay for $20, or $27 on Amazon</t>
  </si>
  <si>
    <t>Queso_Grandee</t>
  </si>
  <si>
    <t>Ebay</t>
  </si>
  <si>
    <t>mem test ok but very very long</t>
  </si>
  <si>
    <t>TES432G26D819K-VC</t>
  </si>
  <si>
    <t>NAS will boot and run. However, after a few days, the NAS will become unresponsive. Memcheck returns successfully.</t>
  </si>
  <si>
    <t>mh3f</t>
  </si>
  <si>
    <t>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32 GB
	Form Factor: SODIMM
	Set: None
	Locator: DIMM 0
	Bank Locator: P0 CHANNEL A
	Type: DDR4
	Type Detail: Synchronous Unbuffered (Unregistered)
	Speed: 2667 MT/s
	Manufacturer: 066D
	Serial Number: 00000000
	Asset Tag: Not Specified
	Part Number: TES432G26D819K-VC
	Rank: 2
	Configured Memory Speed: 2400 MT/s
	Minimum Voltage: 1.2 V
	Maximum Voltage: 1.2 V
	Configured Voltage: 1.2 V</t>
  </si>
  <si>
    <t>TPK-Trade</t>
  </si>
  <si>
    <t>Austria</t>
  </si>
  <si>
    <t>m3rlin31</t>
  </si>
  <si>
    <t>DS423+</t>
  </si>
  <si>
    <t>HMA81GS6AFR8N-UH</t>
  </si>
  <si>
    <t>BlaydeRunner</t>
  </si>
  <si>
    <t>7.1.1-42962 Update 5</t>
  </si>
  <si>
    <t>FollowTheTrailofDead</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</si>
  <si>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1866 MT/s
Manufacturer: 1315
Serial Number: 22252523
Asset Tag: 9876543210
Part Number: CT102464BF186D.M16
Rank: Unknown
Configured Memory Speed: 1866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1866 MT/s
Manufacturer: 1315
Serial Number: 22252524
Asset Tag: 9876543210
Part Number: CT102464BF186D.M16
Rank: Unknown
Configured Memory Speed: 1866 MT/s
Minimum Voltage: Unknown
Maximum Voltage: Unknown
Configured Voltage: Unknown</t>
  </si>
  <si>
    <t>DS1520+</t>
  </si>
  <si>
    <t>P4i3r</t>
  </si>
  <si>
    <t>Italy</t>
  </si>
  <si>
    <t>amazon.it</t>
  </si>
  <si>
    <t>DS218+</t>
  </si>
  <si>
    <t>CT51264BF160B</t>
  </si>
  <si>
    <t>fabri91</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</si>
  <si>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4096 MB
Form Factor: SODIMM
Set: None
Locator: ChannelA-DIMM0
Bank Locator: BANK 0
Type: DDR3
Type Detail: Synchronous
Speed: 1600 MT/s
Manufacturer: Micron
Serial Number: 26152024
Asset Tag: 9876543210
Part Number: CT51264BF160B.C16F
Rank: Unknown
Configured Memory Speed: 1600 MT/s
Minimum Voltage: Unknown
Maximum Voltage: Unknown
Configured Voltage: Unknown
Handle 0x0025, DMI type 17, 40 bytes
Memory Device
Array Handle: 0x0023
Error Information Handle: No Error
Total Width: 8 bits
Data Width: 8 bits
Size: 4096 MB
Form Factor: SODIMM
Set: None
Locator: ChannelB-DIMM0
Bank Locator: BANK 1
Type: DDR3
Type Detail: Synchronous
Speed: 1600 MT/s
Manufacturer: 0000
Serial Number: 00000000
Asset Tag: 9876543210
Part Number:
Rank: Unknown
Configured Memory Speed: 1600 MT/s
Minimum Voltage: Unknown
Maximum Voltage: Unknown
Configured Voltage: Unknown</t>
  </si>
  <si>
    <t>DS620Slim</t>
  </si>
  <si>
    <t>CT2KIT204864BF160B</t>
  </si>
  <si>
    <t>Alt Single Part No: CT204864BF160B.M16</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</si>
  <si>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16384 MB
Form Factor: SODIMM
Set: None
Locator: ChannelA-DIMM0
Bank Locator: BANK 0
Type: DDR3
Type Detail: Synchronous
Speed: 1600 MT/s
Manufacturer: 1315
Serial Number: 22591217
Asset Tag: 9876543210
Part Number: CT204864BF160B.M16
Rank: Unknown
Configured Memory Speed: 1600 MT/s
Minimum Voltage: Unknown
Maximum Voltage: Unknown
Configured Voltage: Unknown
Handle 0x0025, DMI type 17, 40 bytes
Memory Device
Array Handle: 0x0023
Error Information Handle: No Error
Total Width: 8 bits
Data Width: 8 bits
Size: 16384 MB
Form Factor: SODIMM
Set: None
Locator: ChannelB-DIMM0
Bank Locator: BANK 1
Type: DDR3
Type Detail: Synchronous
Speed: 1600 MT/s
Manufacturer: 1315
Serial Number: 22590025
Asset Tag: 9876543210
Part Number: CT204864BF160B.M16
Rank: Unknown
Configured Memory Speed: 1600 MT/s
Minimum Voltage: Unknown
Maximum Voltage: Unknown
Configured Voltage: Unknown</t>
  </si>
  <si>
    <t>CT2K16G4SFD824A</t>
  </si>
  <si>
    <t>lvalinho</t>
  </si>
  <si>
    <t>Portugal</t>
  </si>
  <si>
    <t>chiptec.net</t>
  </si>
  <si>
    <t>Only warning on reboot as expected. Works great after that.</t>
  </si>
  <si>
    <t>Vmachiel</t>
  </si>
  <si>
    <t>RS2423+</t>
  </si>
  <si>
    <t>7.2-64216</t>
  </si>
  <si>
    <t>‎ME21300-628K02-540</t>
  </si>
  <si>
    <t>Does not boot with this RAM</t>
  </si>
  <si>
    <t>r3vanchist_</t>
  </si>
  <si>
    <t>(Results are for factory-installed RAM for reference. Machine did not boot with tested RAM)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8192 MB
Form Factor: DIMM
Set: None
Locator: DIMM 0
Bank Locator: P0 CHANNEL A
Type: DDR4
Type Detail: Synchronous Unbuffered (Unregistered)
Speed: 3200 MT/s
Manufacturer: 08F7
Serial Number: 7519050F
Asset Tag: Not Specified
Part Number: D4ES1G081SH32A-E
Rank: 1
Configured Memory Speed: 3200 MT/s
Minimum Voltage: 1.2 V
Maximum Voltage: 1.2 V
Configured Voltage: 1.2 V
Handle 0x0020, DMI type 17, 40 bytes
Memory Device
Array Handle: 0x001E
Error Information Handle: 0x0023
Total Width: Unknown
Data Width: Unknown
Size: No Module Installed
Form Factor: Unknown
Set: None
Locator: DIMM 0
Bank Locator: P0 CHANNEL B
Type: Unknown
Type Detail: Unknown
Speed: Unknown
Manufacturer: 0000
Serial Number: Unknown
Asset Tag: Not Specified
Part Number: Unknown
Rank: Unknown
Configured Memory Speed: Unknown
Minimum Voltage: Unknown
Maximum Voltage: Unknown
Configured Voltage: Unknown</t>
  </si>
  <si>
    <t>alyn3d</t>
  </si>
  <si>
    <t>eMag</t>
  </si>
  <si>
    <t>Saumsung</t>
  </si>
  <si>
    <t>M471A5244CB0-CTD</t>
  </si>
  <si>
    <t>m4bandit</t>
  </si>
  <si>
    <t>paulirish</t>
  </si>
  <si>
    <t>octopianer</t>
  </si>
  <si>
    <t>9965657-011.A00G</t>
  </si>
  <si>
    <t>qnex</t>
  </si>
  <si>
    <t>Ireland</t>
  </si>
  <si>
    <t># dmidecode 3.2
Getting SMBIOS data from sysfs.
SMBIOS 2.8 present.
Handle 0x0014, DMI type 16, 23 bytes
Physical Memory Array
	Location: System Board Or Motherboard
	Use: System Memory
	Error Correction Type: Single-bit ECC
	Maximum Capacity: 32 GB
	Error Information Handle: No Error
	Number Of Devices: 2
Handle 0x0015, DMI type 17, 40 bytes
Memory Device
	Array Handle: 0x0014
	Error Information Handle: No Error
	Total Width: 72 bits
	Data Width: 64 bits
	Size: 16384 MB
	Form Factor: SODIMM
	Set: None
	Locator: DIMM0
	Bank Locator: BANK 1
	Type: DDR4
	Type Detail: Synchronous
	Speed: 2400 MT/s
	Manufacturer: Kingston
	Serial Number: B1A81C88
	Asset Tag: 01
	Part Number: 9965657-011.A00G
	Rank: 2
	Configured Memory Speed: 2133 MT/s
	Minimum Voltage: 1.2 V
	Maximum Voltage: 1.2 V
	Configured Voltage: 1.2 V
Handle 0x0016, DMI type 17, 40 bytes
Memory Device
	Array Handle: 0x0014
	Error Information Handle: No Error
	Total Width: 72 bits
	Data Width: 64 bits
	Size: 16384 MB
	Form Factor: SODIMM
	Set: None
	Locator: DIMM1
	Bank Locator: BANK 0
	Type: DDR4
	Type Detail: Synchronous
	Speed: 2400 MT/s
	Manufacturer: Kingston
	Serial Number: 7EA81538
	Asset Tag: 02
	Part Number: 9965657-011.A00G
	Rank: 2
	Configured Memory Speed: 2133 MT/s
	Minimum Voltage: 1.2 V
	Maximum Voltage: 1.2 V
	Configured Voltage: 1.2 V</t>
  </si>
  <si>
    <t>KVR26S19S8/8</t>
  </si>
  <si>
    <t>Leenoha</t>
  </si>
  <si>
    <t>Slovakia</t>
  </si>
  <si>
    <t>datart.sk</t>
  </si>
  <si>
    <t>Passes Synology memory test without problems. At the moment of writing, I have been using this memory for 7 months without any issue.</t>
  </si>
  <si>
    <t>Wild4fire</t>
  </si>
  <si>
    <t>Amazon.nl</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</si>
  <si>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6824A8A3
Asset Tag: Not Specified
Part Number: 9965657-035.A00G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03A4AAED
Asset Tag: Not Specified
Part Number: 9965657-035.A00G
Rank: 2
Configured Memory Speed: 2400 MT/s
Minimum Voltage: 1.2 V
Maximum Voltage: 1.2 V
Configured Voltage: 1.2 V</t>
  </si>
  <si>
    <t>7.2-64561</t>
  </si>
  <si>
    <t>ME25600-628K02-G</t>
  </si>
  <si>
    <t>DDR4-3200MHZ PC4-25600 UDIMM</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</si>
  <si>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DIMM
Set: None
Locator: DIMM 0
Bank Locator: P0 CHANNEL A
Type: DDR4
Type Detail: Synchronous Unbuffered (Unregistered)
Speed: 3200 MT/s
Manufacturer: 0000
Serial Number: 00142B6F
Asset Tag: Not Specified
Part Number: Unknown
Rank: 1
Configured Memory Speed: 3200 MT/s
Minimum Voltage: 1.2 V
Maximum Voltage: 1.2 V
Configured Voltage: 1.2 V
Handle 0x0020, DMI type 17, 40 bytes
Memory Device
Array Handle: 0x001E
Error Information Handle: 0x0023
Total Width: 72 bits
Data Width: 64 bits
Size: 16384 MB
Form Factor: DIMM
Set: None
Locator: DIMM 0
Bank Locator: P0 CHANNEL B
Type: DDR4
Type Detail: Synchronous Unbuffered (Unregistered)
Speed: 3200 MT/s
Manufacturer: 0000
Serial Number: 00142A6E
Asset Tag: Not Specified
Part Number: Unknown
Rank: 1
Configured Memory Speed: 3200 MT/s
Minimum Voltage: 1.2 V
Maximum Voltage: 1.2 V
Configured Voltage: 1.2 V</t>
  </si>
  <si>
    <t>Worked fine with 7.1, too. No warnings or unusual behavior.</t>
  </si>
  <si>
    <t>/u/totallyjaded</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</si>
  <si>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0014263A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001427F2
Asset Tag: Not Specified
Part Number: Unknown
Rank: 2
Configured Memory Speed: 2400 MT/s
Minimum Voltage: 1.2 V
Maximum Voltage: 1.2 V
Configured Voltage: 1.2 V</t>
  </si>
  <si>
    <t>angry_unicorn</t>
  </si>
  <si>
    <t>76TT26NUS2R8-16G</t>
  </si>
  <si>
    <t>angelsanges</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</si>
  <si>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00001052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</si>
  <si>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7.1.1</t>
  </si>
  <si>
    <t>Forgott3n</t>
  </si>
  <si>
    <t>7.1.1-42962 Update 6</t>
  </si>
  <si>
    <t>Did a full memory test and it passed</t>
  </si>
  <si>
    <t>ID: 0U06</t>
  </si>
  <si>
    <t>szbalazsHU</t>
  </si>
  <si>
    <t>Hungary</t>
  </si>
  <si>
    <t>https://www.alza.hu/</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</si>
  <si>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AF795502
Asset Tag:
Part Number: 9905744-112.A00G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</si>
  <si>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DS416play</t>
  </si>
  <si>
    <t>Apacer</t>
  </si>
  <si>
    <t>DV.08G2K.KAM</t>
  </si>
  <si>
    <t>tom914</t>
  </si>
  <si>
    <t>alza.sk</t>
  </si>
  <si>
    <t># dmidecode 3.2
# SMBIOS entry point at 0x7a850000
Found SMBIOS entry point in EFI, reading table from /dev/mem.
SMBIOS 2.8 present.
Handle 0x0023, DMI type 16, 23 bytes
Physical Memory Array
Location: System Board Or Motherboard
Use: System Memory
Error Correction Type: None
Maximum Capacity: 8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0112
Serial Number: 02984934
Asset Tag: 9876543210
Part Number: 78.C2GCZ.B730C
Rank: Unknown
Configured Memory Speed: 1600 MT/s
Minimum Voltage: 1.35 V
Maximum Voltage: 1.5 V
Configured Voltage: Unknown</t>
  </si>
  <si>
    <t>7.2-64570 Update 1</t>
  </si>
  <si>
    <t>CT16G4SFD8266.C16FJ</t>
  </si>
  <si>
    <t>System won't start, blue light blinked over 24h and nothing.</t>
  </si>
  <si>
    <t>Ukraine</t>
  </si>
  <si>
    <t>Rozetka.ua</t>
  </si>
  <si>
    <t>CT16G4SFRA32A</t>
  </si>
  <si>
    <t>kaitoudark2016</t>
  </si>
  <si>
    <t>Neo Forza</t>
  </si>
  <si>
    <t>NMES432F89-3200EA00</t>
  </si>
  <si>
    <t>Vietnam</t>
  </si>
  <si>
    <t>EAVN</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</si>
  <si>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2667 MT/s
Manufacturer: 08F7
Serial Number: 4028191B
Asset Tag: Not Specified
Part Number: D4XS12081SH26A-C Rank: 1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3200 MT/s
Manufacturer: 0945
Serial Number: 02322666
Asset Tag: Not Specified
Part Number: NMES432F89-3200E Rank: 2
Configured Memory Speed: 2400 MT/s
Minimum Voltage: 1.2 V
Maximum Voltage: 1.2 V
Configured Voltage: 1.2 V</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</si>
  <si>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017A
Serial Number: 52403447
Asset Tag: Not Specified
Part Number: D43.27180S.001 Rank: 1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3200 MT/s
Manufacturer: 0945
Serial Number: 02322666
Asset Tag: Not Specified
Part Number: NMES432F89-3200E Rank: 2
Configured Memory Speed: 2400 MT/s
Minimum Voltage: 1.2 V
Maximum Voltage: 1.2 V
Configured Voltage: 1.2 V</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</si>
  <si>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2667 MT/s
Manufacturer: 08F7
Serial Number: 4B64291B
Asset Tag: Not Specified
Part Number: D4XS12081SH26A-C Rank: 1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3200 MT/s
Manufacturer: 0945
Serial Number: 02322666
Asset Tag: Not Specified
Part Number: NMES432F89-3200E Rank: 2
Configured Memory Speed: 2400 MT/s
Minimum Voltage: 1.2 V
Maximum Voltage: 1.2 V
Configured Voltage: 1.2 V</t>
  </si>
  <si>
    <t>RS1619xs</t>
  </si>
  <si>
    <t>NMED432F89-2666EA00</t>
  </si>
  <si>
    <t>Memory Test: Passed</t>
  </si>
  <si>
    <t># dmidecode 3.2
Getting SMBIOS data from sysfs.
SMBIOS 2.8 present.
Handle 0x0020, DMI type 16, 23 bytes
Physical Memory Array
Location: System Board Or Motherboard
Use: System Memory
Error Correction Type: Multi-bit ECC
Maximum Capacity: 128 GB
Error Information Handle: No Error
Number Of Devices: 4
Handle 0x0021, DMI type 17, 40 bytes
Memory Device
Array Handle: 0x0020
Error Information Handle: No Error
Total Width: 72 bits
Data Width: 64 bits
Size: 8192 MB
Form Factor: DIMM
Set: None
Locator: DIMM_1/1
Bank Locator: NODE 1
Type: DDR4
Type Detail: Synchronous Unbuffered (Unregistered)
Speed: 2667 MT/s
Manufacturer: 0xF106
Serial Number: 0x0544003A
Asset Tag: Unknown
Part Number: M4CI-8GSSMC0K-F Rank: 1
Configured Memory Speed: 2133 MT/s
Minimum Voltage: 1.2 V
Maximum Voltage: 1.2 V
Configured Voltage: 1.2 V
Handle 0x0022, DMI type 17, 40 bytes
Memory Device
Array Handle: 0x0026
Error Information Handle: No Error
Total Width: 72 bits
Data Width: 64 bits
Size: 32 GB
Form Factor: DIMM
Set: None
Locator: DIMM_1/2
Bank Locator: NODE 1
Type: DDR4
Type Detail: Synchronous Unbuffered (Unregistered)
Speed: 3200 MT/s
Manufacturer: 0x4509
Serial Number: 0x02322666
Asset Tag: Unknown
Part Number: NMED432F89-3200E Rank: 2
Configured Memory Speed: 2133 MT/s
Minimum Voltage: 1.2 V
Maximum Voltage: 1.2 V
Configured Voltage: 1.2 V
Handle 0x0023, DMI type 17, 40 bytes
Memory Device
Array Handle: 0x0027
Error Information Handle: No Error
Total Width: 72 bits
Data Width: 64 bits
Size: 32 GB
Form Factor: DIMM
Set: None
Locator: DIMM_2/1
Bank Locator: NODE 1
Type: DDR4
Type Detail: Synchronous Unbuffered (Unregistered)
Speed: 2667 MT/s
Manufacturer: 0x4509
Serial Number: 0x02322666
Asset Tag: Unknown
Part Number: NMED432F89-2666E Rank: 1
Configured Memory Speed: 2133 MT/s
Minimum Voltage: 1.2 V
Maximum Voltage: 1.2 V
Configured Voltage: 1.2 V
Handle 0x0024, DMI type 17, 40 bytes
Memory Device
Array Handle: 0x0028
Error Information Handle: No Error
Total Width: Unknown
Data Width: Unknown
Size: No Module Installed
Form Factor: DIMM
Set: None
Locator: DIMM_2/2
Bank Locator: NODE 1
Type: Unknown
Type Detail: Synchronous Unbuffered (Unregistered)
Speed: Unknown
Manufacturer: NO DIMM
Serial Number: Unknown
Asset Tag: Unknown
Part Number: Unknown
Rank: 2
Configured Memory Speed: Unknown
Minimum Voltage: Unknown
Maximum Voltage: Unknown
Configured Voltage: Unknown</t>
  </si>
  <si>
    <t>Koeniz</t>
  </si>
  <si>
    <t>amazon.se</t>
  </si>
  <si>
    <t>DS2415+</t>
  </si>
  <si>
    <t>CT2K8G3S160BM</t>
  </si>
  <si>
    <t>Any memory upgrade requires two identical sticks of RAM.</t>
  </si>
  <si>
    <t>dangled</t>
  </si>
  <si>
    <t># dmidecode 3.2
# SMBIOS entry point at 0x7ed06000
Found SMBIOS entry point in EFI, reading table from /dev/mem.
SMBIOS 2.7 present.
Handle 0x0015, DMI type 16, 23 bytes
Physical Memory Array
Location: System Board Or Motherboard
Use: System Memory
Error Correction Type: None
Maximum Capacity: 64 GB
Error Information Handle: No Error
Number Of Devices: 4
Handle 0x0016, DMI type 17, 34 bytes
Memory Device
Array Handle: 0x0015
Error Information Handle: No Error
Total Width: Unknown
Data Width: Unknown
Size: 8192 MB
Form Factor: DIMM
Set: None
Locator: DIMM0
Bank Locator: BANK 0
Type: DDR3
Type Detail: Synchronous Unbuffered (Unregistered)
Speed: 1600 MT/s
Manufacturer: &lt;BAD INDEX&gt;
Serial Number: &lt;BAD INDEX&gt;
Asset Tag: &lt;BAD INDEX&gt;
Part Number: &lt;BAD INDEX&gt;
Rank: 2
Configured Memory Speed: 1600 MT/s
Handle 0x0017, DMI type 17, 34 bytes
Memory Device
Array Handle: 0x0015
Error Information Handle: No Error
Total Width: Unknown
Data Width: Unknown
Size: 8192 MB
Form Factor: DIMM
Set: None
Locator: DIMM0
Bank Locator: BANK 1
Type: DDR3
Type Detail: Synchronous Unbuffered (Unregistered)
Speed: 1600 MT/s
Manufacturer: &lt;BAD INDEX&gt;
Serial Number: &lt;BAD INDEX&gt;
Asset Tag: &lt;BAD INDEX&gt;
Part Number: &lt;BAD INDEX&gt;
Rank: 2
Configured Memory Speed: 1600 MT/s
Handle 0x0018, DMI type 17, 34 bytes
Memory Device
Array Handle: 0x0015
Error Information Handle: No Error
Total Width: Unknown
Data Width: Unknown
Size: No Module Installed
Form Factor: DIMM
Set: None
Locator: DIMM1
Bank Locator: BANK 0
Type: DDR3
Type Detail: Synchronous Unbuffered (Unregistered)
Speed: Unknown
Manufacturer: NO DIMM
Serial Number: Unknown
Asset Tag: Unknown
Part Number: Unknown
Rank: Unknown
Configured Memory Speed: Unknown
Handle 0x0019, DMI type 17, 34 bytes
Memory Device
Array Handle: 0x0015
Error Information Handle: No Error
Total Width: Unknown
Data Width: Unknown
Size: No Module Installed
Form Factor: DIMM
Set: None
Locator: DIMM1
Bank Locator: BANK 1
Type: DDR3
Type Detail: Synchronous Unbuffered (Unregistered)
Speed: Unknown
Manufacturer: NO DIMM
Serial Number: Unknown
Asset Tag: Unknown
Part Number: Unknown
Rank: Unknown
Configured Memory Speed: Unknown</t>
  </si>
  <si>
    <t>VilmarHillow</t>
  </si>
  <si>
    <t>CT2K16G4SFRA32A</t>
  </si>
  <si>
    <t>LeviathanTech</t>
  </si>
  <si>
    <t>7.2-64570</t>
  </si>
  <si>
    <t>CT2K32G4SFD832A</t>
  </si>
  <si>
    <t>Crucial 64GB (2x32GB) DDR4-3200 SODIM 1.2V CL22</t>
  </si>
  <si>
    <t>Mention-One</t>
  </si>
  <si>
    <t>ChBrBrown</t>
  </si>
  <si>
    <t>‎76HN26NUS1R</t>
  </si>
  <si>
    <t>No issues or warnings. Installed BEFORE even installing DSM on brand new box.</t>
  </si>
  <si>
    <t>Frostbolter</t>
  </si>
  <si>
    <t>amazon.com.au</t>
  </si>
  <si>
    <t>CT16G4SFD824A</t>
  </si>
  <si>
    <t>tnohnoes</t>
  </si>
  <si>
    <t>Micro-Mail</t>
  </si>
  <si>
    <t>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E7FC4044
Asset Tag: Part Number: CT16G4SFD824A.M16FE Rank: 2
Configured Memory Speed: 2400 MT/s
Minimum Voltage: 1.2 V
Maximum Voltage: 1.2 V
Configured Voltage: 1.2 V</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</si>
  <si>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32 GB
Form Factor: SODIMM
Set: None
Locator: DIMM 0
Bank Locator: P0 CHANNEL A
Type: DDR4
Type Detail: Synchronous Unbuffered (Unregistered)
Speed: 2667 MT/s
Manufacturer: 066D
Serial Number: 00000000
Asset Tag: Not Specified
Part Number: TES432G26D819K-VC
Rank: 2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2667 MT/s
Manufacturer: 066D
Serial Number: 00000000
Asset Tag: Not Specified
Part Number: TES432G26D819K-VC
Rank: 2
Configured Memory Speed: 2400 MT/s
Minimum Voltage: 1.2 V
Maximum Voltage: 1.2 V
Configured Voltage: 1.2 V</t>
  </si>
  <si>
    <t>Sabrent</t>
  </si>
  <si>
    <t>B09XJGCM3T</t>
  </si>
  <si>
    <t>frozen-geek</t>
  </si>
  <si>
    <t>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</si>
  <si>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hg-skaos</t>
  </si>
  <si>
    <t>DS1823xs+</t>
  </si>
  <si>
    <t>SY16GB2666SOECTZ001</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</si>
  <si>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FFFFFFFF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FFFFFFFF
Asset Tag: Not Specified
Part Number: Unknown
Rank: 2
Configured Memory Speed: 2400 MT/s
Minimum Voltage: 1.2 V
Maximum Voltage: 1.2 V
Configured Voltage: 1.2 V</t>
  </si>
  <si>
    <t>pbe78</t>
  </si>
  <si>
    <t>e-tec.at</t>
  </si>
  <si>
    <t>harr2969</t>
  </si>
  <si>
    <t>HMA82GS6CJR8N</t>
  </si>
  <si>
    <t>arbsmack</t>
  </si>
  <si>
    <t>ebay</t>
  </si>
  <si>
    <t>7.2-64570 Update 3</t>
  </si>
  <si>
    <t>Spain</t>
  </si>
  <si>
    <t>amazon.es</t>
  </si>
  <si>
    <t>CT16G4SFS8266</t>
  </si>
  <si>
    <t>FJSonin</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</si>
  <si>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00000F7E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</si>
  <si>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7.0.1-42218 Update 6</t>
  </si>
  <si>
    <t>M471B5273DH0-CH9</t>
  </si>
  <si>
    <t>Popped it in, worked fine</t>
  </si>
  <si>
    <t>Jeffbx</t>
  </si>
  <si>
    <t>Old laptop RAM I had laying around</t>
  </si>
  <si>
    <t>nemixram.com</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</si>
  <si>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001427E2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001428A1
Asset Tag: Not Specified
Part Number: Unknown
Rank: 2
Configured Memory Speed: 2400 MT/s
Minimum Voltage: 1.2 V
Maximum Voltage: 1.2 V
Configured Voltage: 1.2 V</t>
  </si>
  <si>
    <t>RS2418+</t>
  </si>
  <si>
    <t>7.2-64570 update 3</t>
  </si>
  <si>
    <t>MTA18ADF2G72AZ</t>
  </si>
  <si>
    <t>No boot</t>
  </si>
  <si>
    <t>Poland</t>
  </si>
  <si>
    <t>0100000101101000</t>
  </si>
  <si>
    <t>Kingston Memory Shop</t>
  </si>
  <si>
    <t>root@[REDACTED]:~# sudo dmidecode -t memory
# dmidecode 3.2
Getting SMBIOS data from sysfs.
SMBIOS 2.8 present.
Handle 0x0020, DMI type 16, 23 bytes
Physical Memory Array
Location: System Board Or Motherboard
Use: System Memory
Error Correction Type: Multi-bit ECC
Maximum Capacity: 128 GB
Error Information Handle: No Error
Number Of Devices: 4
Handle 0x0021, DMI type 17, 40 bytes
Memory Device
Array Handle: 0x0020
Error Information Handle: No Error
Total Width: 72 bits
Data Width: 64 bits
Size: 32 GB
Form Factor: DIMM
Set: None
Locator: DIMM_1/1
Bank Locator: NODE 1
Type: DDR4
Type Detail: Unknown Synchronous
Speed: 2667 MT/s
Manufacturer: 0198
Serial Number: [REDACTED]
Asset Tag: Unknown
Part Number: 9965657-038.A00G
Rank: 2
Configured Memory Speed: 2133 MT/s
Minimum Voltage: 1.2 V
Maximum Voltage: 1.2 V
Configured Voltage: 1.2 V
Handle 0x0022, DMI type 17, 40 bytes
Memory Device
Array Handle: 0x0026
Error Information Handle: No Error
Total Width: 72 bits
Data Width: 64 bits
Size: 32 GB
Form Factor: DIMM
Set: None
Locator: DIMM_1/2
Bank Locator: NODE 1
Type: DDR4
Type Detail: Unknown Synchronous
Speed: 2667 MT/s
Manufacturer: 0198
Serial Number: [REDACTED]
Asset Tag: Unknown
Part Number: 9965657-038.A00G
Rank: 2
Configured Memory Speed: 2133 MT/s
Minimum Voltage: 1.2 V
Maximum Voltage: 1.2 V
Configured Voltage: 1.2 V
Handle 0x0023, DMI type 17, 40 bytes
Memory Device
Array Handle: 0x0027
Error Information Handle: No Error
Total Width: 72 bits
Data Width: 64 bits
Size: 32 GB
Form Factor: DIMM
Set: None
Locator: DIMM_2/1
Bank Locator: NODE 1
Type: DDR4
Type Detail: Unknown Synchronous
Speed: 2667 MT/s
Manufacturer: 0198
Serial Number: [REDACTED]
Asset Tag: Unknown
Part Number: 9965657-038.A00G
Rank: 2
Configured Memory Speed: 2133 MT/s
Minimum Voltage: 1.2 V
Maximum Voltage: 1.2 V
Configured Voltage: 1.2 V
Handle 0x0024, DMI type 17, 40 bytes
Memory Device
Array Handle: 0x0028
Error Information Handle: No Error
Total Width: 72 bits
Data Width: 64 bits
Size: 32 GB
Form Factor: DIMM
Set: None
Locator: DIMM_2/2
Bank Locator: NODE 1
Type: DDR4
Type Detail: Unknown Synchronous
Speed: 2667 MT/s
Manufacturer: 0198
Serial Number: [REDACTED]
Asset Tag: Unknown
Part Number: 9965657-038.A00G
Rank: 2
Configured Memory Speed: 2133 MT/s
Minimum Voltage: 1.2 V
Maximum Voltage: 1.2 V
Configured Voltage: 1.2 V</t>
  </si>
  <si>
    <t>totallyjaded</t>
  </si>
  <si>
    <t>Really a boost from the 4gb that was previously installed.</t>
  </si>
  <si>
    <t>googabeast</t>
  </si>
  <si>
    <t>Mexico</t>
  </si>
  <si>
    <t>BelgianMonster</t>
  </si>
  <si>
    <t>Belgium</t>
  </si>
  <si>
    <t>amazon.com.be</t>
  </si>
  <si>
    <t>HMA82GS6AFR8N-UH</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</si>
  <si>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SK Hynix
Serial Number: &lt;redated&gt;
Asset Tag: Part Number: HMA82GS6AFR8N-UH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</si>
  <si>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9ASF2G72HZ-3G2F1</t>
  </si>
  <si>
    <t>Rated as 3200 but runs at 2400 MT/s, not 2667.</t>
  </si>
  <si>
    <t>Crucial.com</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</si>
  <si>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Micron Technology
Serial Number: 3F8001DB
Asset Tag: Not Specified
Part Number: 9ASF2G72HZ-3G2F1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Micron Technology
Serial Number: 3F7FFD16
Asset Tag: Not Specified
Part Number: 9ASF2G72HZ-3G2F1
Rank: 1
Configured Memory Speed: 2400 MT/s
Minimum Voltage: 1.2 V
Maximum Voltage: 1.2 V
Configured Voltage: 1.2 V</t>
  </si>
  <si>
    <t>7.2.64570 Update 3</t>
  </si>
  <si>
    <t>These modules have been succesfully work during more than 2 years, with any DSM version including the last 7.1x. BUT they cause a lot of crashed, reboots and unstability problems with the last 7.2.64570 Update 3 version. I have removed them and installed back the original Synology 4GB, and the NAS works again like a charm.</t>
  </si>
  <si>
    <t>Nounours18200</t>
  </si>
  <si>
    <t>KF426S15IB1/16</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</si>
  <si>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D7853B40
Asset Tag:
Part Number: KF2666C15S4/16G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</si>
  <si>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79TT26EUS1R8-8G</t>
  </si>
  <si>
    <t>RS2416+</t>
  </si>
  <si>
    <t>Silicon Power</t>
  </si>
  <si>
    <t>SU016GLSTU160N22AH / SP008GLSTU160N02</t>
  </si>
  <si>
    <t>ASIN: B07L8C37DH</t>
  </si>
  <si>
    <t>tangobravoyankee</t>
  </si>
  <si>
    <t># dmidecode 3.2
# SMBIOS entry point at 0x7ed06000
Found SMBIOS entry point in EFI, reading table from /dev/mem.
SMBIOS 2.7 present.
Handle 0x0015, DMI type 16, 23 bytes
Physical Memory Array
Location: System Board Or Motherboard
Use: System Memory
Error Correction Type: None
Maximum Capacity: 64 GB
Error Information Handle: No Error
Number Of Devices: 4
Handle 0x0016, DMI type 17, 34 bytes
Memory Device
Array Handle: 0x0015
Error Information Handle: No Error
Total Width: Unknown
Data Width: Unknown
Size: 8192 MB
Form Factor: SODIMM
Set: None
Locator: DIMM0
Bank Locator: BANK 0
Type: DDR3
Type Detail: Synchronous Unbuffered (Unregistered)
Speed: 1600 MT/s
Manufacturer: &lt;BAD INDEX&gt;
Serial Number: &lt;BAD INDEX&gt;
Asset Tag: &lt;BAD INDEX&gt;
Part Number: &lt;BAD INDEX&gt;
Rank: 2
Configured Memory Speed: 1600 MT/s
Handle 0x0017, DMI type 17, 34 bytes
Memory Device
Array Handle: 0x0015
Error Information Handle: No Error
Total Width: Unknown
Data Width: Unknown
Size: 8192 MB
Form Factor: SODIMM
Set: None
Locator: DIMM0
Bank Locator: BANK 1
Type: DDR3
Type Detail: Synchronous Unbuffered (Unregistered)
Speed: 1600 MT/s
Manufacturer: &lt;BAD INDEX&gt;
Serial Number: &lt;BAD INDEX&gt;
Asset Tag: &lt;BAD INDEX&gt;
Part Number: &lt;BAD INDEX&gt;
Rank: 2
Configured Memory Speed: 1600 MT/s
Handle 0x0018, DMI type 17, 34 bytes
Memory Device
Array Handle: 0x0015
Error Information Handle: No Error
Total Width: Unknown
Data Width: Unknown
Size: No Module Installed
Form Factor: SODIMM
Set: None
Locator: DIMM1
Bank Locator: BANK 0
Type: DDR3
Type Detail: Synchronous Unbuffered (Unregistered)
Speed: Unknown
Manufacturer: NO DIMM
Serial Number: Unknown
Asset Tag: Unknown
Part Number: Unknown
Rank: Unknown
Configured Memory Speed: Unknown
Handle 0x0019, DMI type 17, 34 bytes
Memory Device
Array Handle: 0x0015
Error Information Handle: No Error
Total Width: Unknown
Data Width: Unknown
Size: No Module Installed
Form Factor: SODIMM
Set: None
Locator: DIMM1
Bank Locator: BANK 1
Type: DDR3
Type Detail: Synchronous Unbuffered (Unregistered)
Speed: Unknown
Manufacturer: NO DIMM
Serial Number: Unknown
Asset Tag: Unknown
Part Number: Unknown
Rank: Unknown
Configured Memory Speed: Unknown</t>
  </si>
  <si>
    <t>DS224+</t>
  </si>
  <si>
    <t>Doesn't boot up, blue blinking power LED, nothing else.</t>
  </si>
  <si>
    <t>Nusuthoid</t>
  </si>
  <si>
    <t>Croatia</t>
  </si>
  <si>
    <t>ADM</t>
  </si>
  <si>
    <t>RS820+</t>
  </si>
  <si>
    <t>DocOnion</t>
  </si>
  <si>
    <t>Scorptec</t>
  </si>
  <si>
    <t>M471A2K43CB1-CTD</t>
  </si>
  <si>
    <t>Max@radacode.com</t>
  </si>
  <si>
    <t>Informatika</t>
  </si>
  <si>
    <t>Endless blinking blue. Won’t start.</t>
  </si>
  <si>
    <t>max@radacode.com</t>
  </si>
  <si>
    <t>MTA</t>
  </si>
  <si>
    <t>M471A5244CB0-CRC</t>
  </si>
  <si>
    <t>spare part from laptop upgrade</t>
  </si>
  <si>
    <t>RAM recognized immediately, 2 memory tests conducted with no errors</t>
  </si>
  <si>
    <t>I_M_Weasel_AMA</t>
  </si>
  <si>
    <t>Local online store</t>
  </si>
  <si>
    <t>CT2K8G4SFRA32A</t>
  </si>
  <si>
    <t>Blinked a few times during start-up and then booted as normal.</t>
  </si>
  <si>
    <t>B00yahh</t>
  </si>
  <si>
    <t>Amazon.co.uk</t>
  </si>
  <si>
    <t>DS3617xs</t>
  </si>
  <si>
    <t>Crucial's web page suggested this for a DS3617xs. I was able to return it for a full refund.</t>
  </si>
  <si>
    <t>7.2-64570 update 1</t>
  </si>
  <si>
    <t>76HN26NUS1R</t>
  </si>
  <si>
    <t>Memory test took 6.5 hours</t>
  </si>
  <si>
    <t>wastereduction</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</si>
  <si>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00000EED
	Asset Tag:
	Part Number: TIMETEC-S16G-2666
	Rank: 2
	Configured Memory Speed: 2400 MT/s
	Minimum Voltage: 1.2 V
	Maximum Voltage: 1.2 V
	Configured Voltage: 1.2 V</t>
  </si>
  <si>
    <t>Jonny_The_G</t>
  </si>
  <si>
    <t>Storage Island</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</si>
  <si>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DIMM
Set: None
Locator: ChannelA-DIMM0
Bank Locator: BANK 0
Type: DDR4
Type Detail: Synchronous
Speed: 2400 MT/s
Manufacturer: Kingston
Serial Number: ED5D39A3
Asset Tag:
Part Number: 9965657-035.A00G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</si>
  <si>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7.2-64570 Update 2</t>
  </si>
  <si>
    <t>Initally installed December 2021 on whatever DSM was latest at the time for the 718+, then I migrated the storage over to the unit that already had this RAM installed</t>
  </si>
  <si>
    <t>GRLT</t>
  </si>
  <si>
    <t>MSE21300-628</t>
  </si>
  <si>
    <t>This was my second attempt to find compatible RAM. So far so good!</t>
  </si>
  <si>
    <t>Brakels</t>
  </si>
  <si>
    <t>6mo later. I got errors (BTRFS critical.. invalid key objectid). suspecting this RAM. Got this on my NVME volume and 1 week later on my HDD volume.</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</si>
  <si>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06F1
	Serial Number: 1AA102D1
	Asset Tag: Not Specified
	Part Number: M4DE-4GSSPC0M-F
	Rank: 1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Samsung
	Serial Number: 16B2AC2F
	Asset Tag: Not Specified
	Part Number: M471A2K43EB1-CWE
	Rank: 2
	Configured Memory Speed: 2400 MT/s
	Minimum Voltage: 1.2 V
	Maximum Voltage: 1.2 V
	Configured Voltage: 1.2 V</t>
  </si>
  <si>
    <t>walmart.com</t>
  </si>
  <si>
    <t>Worked immediately; recognized RAM and booted within 5 min.</t>
  </si>
  <si>
    <t>Czech republic</t>
  </si>
  <si>
    <t>tsbohemia.cz</t>
  </si>
  <si>
    <t>Slovenia</t>
  </si>
  <si>
    <t>KSM32SED8/16HD</t>
  </si>
  <si>
    <t>Weltraumpenner</t>
  </si>
  <si>
    <t>7.0-41890</t>
  </si>
  <si>
    <t>CT8G48FRA32A</t>
  </si>
  <si>
    <t>Works flawlessly</t>
  </si>
  <si>
    <t>none</t>
  </si>
  <si>
    <t>The blue LED flashes and the NAS never starts</t>
  </si>
  <si>
    <t>7.1.1-42962 Update</t>
  </si>
  <si>
    <t>teamgroup</t>
  </si>
  <si>
    <t>TTZD432G3200HC22DC-S01</t>
  </si>
  <si>
    <t>sfx_guy</t>
  </si>
  <si>
    <t>CT16G4SFRA32A.C16FP</t>
  </si>
  <si>
    <t>installed and booted fine. Have run memory test 2 times with no errors.</t>
  </si>
  <si>
    <t>bessiemucho</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</si>
  <si>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3200 MT/s
Manufacturer: 059B
Serial Number: E8178204
Asset Tag: Not Specified
Part Number: CT16G4SFRA32A.C16FP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059B
Serial Number: E8178228
Asset Tag: Not Specified
Part Number: CT16G4SFRA32A.C16FP
Rank: 2
Configured Memory Speed: 2400 MT/s
Minimum Voltage: 1.2 V
Maximum Voltage: 1.2 V
Configured Voltage: 1.2 V</t>
  </si>
  <si>
    <t>Didn't work on initial boot (had to update to latest version, 7.2)</t>
  </si>
  <si>
    <t>Azerty</t>
  </si>
  <si>
    <t>beninark</t>
  </si>
  <si>
    <t>KVR26S19S8/16</t>
  </si>
  <si>
    <t>Doesn't boot even after left for an hour. Waste of $$.</t>
  </si>
  <si>
    <t>parryforte</t>
  </si>
  <si>
    <t>New Zealand</t>
  </si>
  <si>
    <t>PBTech</t>
  </si>
  <si>
    <t>DS416Play</t>
  </si>
  <si>
    <t>PHS-memory</t>
  </si>
  <si>
    <t>SP255454</t>
  </si>
  <si>
    <t>ours</t>
  </si>
  <si>
    <t>Switzerland</t>
  </si>
  <si>
    <t>Galaxus.ch</t>
  </si>
  <si>
    <t>M471A1K43DB1-CWE</t>
  </si>
  <si>
    <t>Bought the module from a seller who advertised it as M471A1K43CB1-CTD. Checksum mismatch errors occured after two days and memtest returned err=6.</t>
  </si>
  <si>
    <t>minaraversand</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</si>
  <si>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Samsung
Serial Number: 00000786
Asset Tag: Part Number: M471A1K43DB1-CWE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</si>
  <si>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7.2.1-69057</t>
  </si>
  <si>
    <t>microseconds</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</si>
  <si>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417F7182
	Asset Tag:
	Part Number: M471A2K43CB1-CTD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</si>
  <si>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KSM26SES8/16HC</t>
  </si>
  <si>
    <t>Memtest passed, been working for 24h</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</si>
  <si>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Samsung
Serial Number: 339B7C3D
Asset Tag: Part Number: M471A1K43CB1-CTD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</si>
  <si>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HyperX</t>
  </si>
  <si>
    <t>DSM booted in zombie mode, half of things didn't work, caused volume to crash after removing module.</t>
  </si>
  <si>
    <t>IPraetoriaNI</t>
  </si>
  <si>
    <t>AQUA electromax</t>
  </si>
  <si>
    <t>Goodram</t>
  </si>
  <si>
    <t>GR2666S464L19S/4G</t>
  </si>
  <si>
    <t>Goodram SODIMM DDR4-2666 4096MB PC4-21300 (GR2666S464L19S/4G)</t>
  </si>
  <si>
    <t>mega_botan</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</si>
  <si>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075D
	Serial Number: EBB40D40
	Asset Tag:
	Part Number: GR2666S464L19S/4G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</si>
  <si>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Samsung/NEMIX</t>
  </si>
  <si>
    <t>No issues, booted up with no beeps. No mention in DSM.</t>
  </si>
  <si>
    <t>alxrogan</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</si>
  <si>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Micron Technology
Serial Number: 31E46710
Asset Tag: Not Specified
Part Number: 18ASF2G72HZ-2G6E4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Micron Technology
Serial Number: 31E4ADBC
Asset Tag: Not Specified
Part Number: 18ASF2G72HZ-2G6E4
Rank: 2
Configured Memory Speed: 2400 MT/s
Minimum Voltage: 1.2 V
Maximum Voltage: 1.2 V
Configured Voltage: 1.2 V</t>
  </si>
  <si>
    <t>Blinking blue light, never boots</t>
  </si>
  <si>
    <t>TheJerdle</t>
  </si>
  <si>
    <t>OWC</t>
  </si>
  <si>
    <t>OWC2C6D42R8032P</t>
  </si>
  <si>
    <t>Removed the stock 2gb memory and installed 2x 16gb memory. Works great!</t>
  </si>
  <si>
    <t>RS4021xs+</t>
  </si>
  <si>
    <t>M391A2K43BB1-CTD</t>
  </si>
  <si>
    <t>memory.net</t>
  </si>
  <si>
    <t>D4NESO-2666-4G</t>
  </si>
  <si>
    <t>Does not boot after 20+ minutes.</t>
  </si>
  <si>
    <t>colorslikespaceships</t>
  </si>
  <si>
    <t>Newegg.com</t>
  </si>
  <si>
    <t>X-kom</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</si>
  <si>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2400 MT/s
Manufacturer: Hynix
Serial Number: 421DE6F1
Asset Tag: Not Specified
Part Number: HMA82GS6AFR8N-UH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2400 MT/s
Manufacturer: Hynix
Serial Number: 421DF31F
Asset Tag: Not Specified
Part Number: HMA82GS6AFR8N-UH
Rank: 2
Configured Memory Speed: 2400 MT/s
Minimum Voltage: 1.2 V
Maximum Voltage: 1.2 V
Configured Voltage: 1.2 V</t>
  </si>
  <si>
    <t>I kept also the factory RAM module, resulting in 64GB</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</si>
  <si>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8192 MB
Form Factor: SODIMM
Set: None
Locator: DIMM 0
Bank Locator: P0 CHANNEL A
Type: DDR4
Type Detail: Synchronous Unbuffered (Unregistered)
Speed: 3200 MT/s
Manufacturer: 06F1
Serial Number: EE6000A9
Asset Tag: Not Specified
Part Number: M4DE-8GS1PC0M-C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8A7AC1C0
Asset Tag: Not Specified
Part Number: 9965657-055.A00G
Rank: 2
Configured Memory Speed: 2400 MT/s
Minimum Voltage: 1.2 V
Maximum Voltage: 1.2 V
Configured Voltage: 1.2 V</t>
  </si>
  <si>
    <t>Corsair Vengeance</t>
  </si>
  <si>
    <t>Eslar</t>
  </si>
  <si>
    <t>Alternate.de</t>
  </si>
  <si>
    <t>CT16GB4S266M</t>
  </si>
  <si>
    <t>19-19-19, 2666MHz, PC4-21300, 1.2V</t>
  </si>
  <si>
    <t>/u/Sladg</t>
  </si>
  <si>
    <t>Czech Republic</t>
  </si>
  <si>
    <t>www.alza.cz</t>
  </si>
  <si>
    <t>mta8atf1g64hz-2g6e</t>
  </si>
  <si>
    <t>GoodRam</t>
  </si>
  <si>
    <t>GR3200S464L22/16G</t>
  </si>
  <si>
    <t>Allegro.pl</t>
  </si>
  <si>
    <t>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3200 MT/s
Manufacturer: 075D
Serial Number: 0F3C1010
Asset Tag: Not Specified
Part Number: GR3200S464L22/16G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075D
Serial Number: 153C1010
Asset Tag: Not Specified
Part Number: GR3200S464L22/16G
Rank: 2
Configured Memory Speed: 2400 MT/s
Minimum Voltage: 1.2 V
Maximum Voltage: 1.2 V
Configured Voltage: 1.2 V</t>
  </si>
  <si>
    <t>M471A5244CB0-CWE</t>
  </si>
  <si>
    <t>rala72</t>
  </si>
  <si>
    <t>Cyberport.at</t>
  </si>
  <si>
    <t>7.2.1-69057 Update 1</t>
  </si>
  <si>
    <t>KF2666C15S4/8G</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</si>
  <si>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8192 MB
Form Factor: SODIMM
Set: None
Locator: DIMM 0
Bank Locator: P0 CHANNEL A
Type: DDR4
Type Detail: Synchronous Unbuffered (Unregistered)
Speed: 2667 MT/s
Manufacturer: Kingston
Serial Number: C191698A
Asset Tag: Not Specified
Part Number: KF2666C15S4/8G
Rank: 1
Configured Memory Speed: 2400 MT/s
Minimum Voltage: 1.2 V
Maximum Voltage: 1.2 V
Configured Voltage: 1.2 V
Handle 0x0020, DMI type 17, 40 bytes
Memory Device
Array Handle: 0x001E
Error Information Handle: 0x0023
Total Width: 64 bits
Data Width: 64 bits
Size: 8192 MB
Form Factor: SODIMM
Set: None
Locator: DIMM 0
Bank Locator: P0 CHANNEL B
Type: DDR4
Type Detail: Synchronous Unbuffered (Unregistered)
Speed: 2667 MT/s
Manufacturer: Kingston
Serial Number: CF9168B2
Asset Tag: Not Specified
Part Number: KF2666C15S4/8G
Rank: 1
Configured Memory Speed: 2400 MT/s
Minimum Voltage: 1.2 V
Maximum Voltage: 1.2 V
Configured Voltage: 1.2 V</t>
  </si>
  <si>
    <t>7.2.1-69057 Update 2</t>
  </si>
  <si>
    <t>CT16G4S266M</t>
  </si>
  <si>
    <t>Coolblue</t>
  </si>
  <si>
    <t>Kingston FURY Impact</t>
  </si>
  <si>
    <t>dagobert0815</t>
  </si>
  <si>
    <t>www.csv.de</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</si>
  <si>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Kingston
Serial Number: 5614B28D
Asset Tag: Not Specified
Part Number: 9965657-049.A00G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Kingston
Serial Number: 584ACD52
Asset Tag: Not Specified
Part Number: 9965657-049.A00G
Rank: 2
Configured Memory Speed: 2400 MT/s
Minimum Voltage: 1.2 V
Maximum Voltage: 1.2 V
Configured Voltage: 1.2 V</t>
  </si>
  <si>
    <t>Had to reseat and reboot.</t>
  </si>
  <si>
    <t>ES.16G2V.GNH</t>
  </si>
  <si>
    <t>/r/synology</t>
  </si>
  <si>
    <t>Russia</t>
  </si>
  <si>
    <t>DNS</t>
  </si>
  <si>
    <t>MTA18ASF2G72HZ-2G6E1ZI</t>
  </si>
  <si>
    <t>China</t>
  </si>
  <si>
    <t>Aliexpress</t>
  </si>
  <si>
    <t># dmidecode 3.2
Getting SMBIOS data from sysfs.
SMBIOS 2.8 present.
Handle 0x0014, DMI type 16, 23 bytes
Physical Memory Array
Location: System Board Or Motherboard
Use: System Memory
Error Correction Type: Single-bit ECC
Maximum Capacity: 32 GB
Error Information Handle: No Error
Number Of Devices: 2
Handle 0x0015, DMI type 17, 40 bytes
Memory Device
Array Handle: 0x0014
Error Information Handle: No Error
Total Width: 72 bits
Data Width: 64 bits
Size: 16384 MB
Form Factor: SODIMM
Set: None
Locator: DIMM0
Bank Locator: BANK 1
Type: DDR4
Type Detail: Synchronous
Speed: 2666 MT/s
Manufacturer: Micron
Serial Number: 25B05143
Asset Tag: 01
Part Number: 18ASF2G72HZ-2G6E1 Rank: 2
Configured Memory Speed: 2133 MT/s
Minimum Voltage: 1.2 V
Maximum Voltage: 1.2 V
Configured Voltage: 1.2 V
Handle 0x0016, DMI type 17, 40 bytes
Memory Device
Array Handle: 0x0014
Error Information Handle: No Error
Total Width: 72 bits
Data Width: 64 bits
Size: 16384 MB
Form Factor: SODIMM
Set: None
Locator: DIMM1
Bank Locator: BANK 0
Type: DDR4
Type Detail: Synchronous
Speed: 2666 MT/s
Manufacturer: Micron
Serial Number: 2917EF01
Asset Tag: 02
Part Number: 18ASF2G72HZ-2G6E1 Rank: 2
Configured Memory Speed: 2133 MT/s
Minimum Voltage: 1.2 V
Maximum Voltage: 1.2 V
Configured Voltage: 1.2 V</t>
  </si>
  <si>
    <t># dmidecode 3.2
Getting SMBIOS data from sysfs.
SMBIOS 2.8 present.
Handle 0x0014, DMI type 16, 23 bytes
Physical Memory Array
Location: System Board Or Motherboard
Use: System Memory
Error Correction Type: Single-bit ECC
Maximum Capacity: 32 GB
Error Information Handle: No Error
Number Of Devices: 2
Handle 0x0015, DMI type 17, 40 bytes
Memory Device
Array Handle: 0x0014
Error Information Handle: No Error
Total Width: 72 bits
Data Width: 64 bits
Size: 16384 MB
Form Factor: SODIMM
Set: None
Locator: DIMM0
Bank Locator: BANK 1
Type: DDR4
Type Detail: Synchronous
Speed: 2666 MT/s
Manufacturer: Micron
Serial Number: 25******
Asset Tag: 01
Part Number: 18ASF2G72HZ-2G6E1 Rank: 2
Configured Memory Speed: 2133 MT/s
Minimum Voltage: 1.2 V
Maximum Voltage: 1.2 V
Configured Voltage: 1.2 V
Handle 0x0016, DMI type 17, 40 bytes
Memory Device
Array Handle: 0x0014
Error Information Handle: No Error
Total Width: 72 bits
Data Width: 64 bits
Size: 16384 MB
Form Factor: SODIMM
Set: None
Locator: DIMM1
Bank Locator: BANK 0
Type: DDR4
Type Detail: Synchronous
Speed: 2666 MT/s
Manufacturer: Micron
Serial Number: 29******
Asset Tag: 02
Part Number: 18ASF2G72HZ-2G6E1 Rank: 2
Configured Memory Speed: 2133 MT/s
Minimum Voltage: 1.2 V
Maximum Voltage: 1.2 V
Configured Voltage: 1.2 V</t>
  </si>
  <si>
    <t>megekko.nl</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</si>
  <si>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017A
Serial Number: 42405439
Asset Tag: Not Specified
Part Number: D43.27180S.001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5260B9E1
Asset Tag: Not Specified
Part Number: 9965657-035.A00G
Rank: 2
Configured Memory Speed: 2400 MT/s
Minimum Voltage: 1.2 V
Maximum Voltage: 1.2 V
Configured Voltage: 1.2 V</t>
  </si>
  <si>
    <t>HMAA1GS6CJR6N-XN</t>
  </si>
  <si>
    <t>frlawton</t>
  </si>
  <si>
    <t>Dell XPS 15 9510</t>
  </si>
  <si>
    <t>KCP426SS6/4</t>
  </si>
  <si>
    <t>/r/taxable_income</t>
  </si>
  <si>
    <t>Malaysia</t>
  </si>
  <si>
    <t>All IT</t>
  </si>
  <si>
    <t>pete7863</t>
  </si>
  <si>
    <t>M471A2K43CB1</t>
  </si>
  <si>
    <t>Kapitan_eXtreme</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</si>
  <si>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00000000
Asset Tag:
Part Number: TIMETEC-SD4-2666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</si>
  <si>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M474A2K43DB1-CVFQ</t>
  </si>
  <si>
    <t>No issues, full RAM test performed without issues.</t>
  </si>
  <si>
    <t>emc2cube</t>
  </si>
  <si>
    <t>ebay.com</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</si>
  <si>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2933 MT/s
Manufacturer: Samsung
Serial Number: 03548C44
Asset Tag: Not Specified
Part Number: M474A2K43DB1-CVF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2933 MT/s
Manufacturer: Samsung
Serial Number: 02B25D0B
Asset Tag: Not Specified
Part Number: M474A2K43DB1-CVF Rank: 2
Configured Memory Speed: 2400 MT/s
Minimum Voltage: 1.2 V
Maximum Voltage: 1.2 V
Configured Voltage: 1.2 V</t>
  </si>
  <si>
    <t>RS815+</t>
  </si>
  <si>
    <t>CT102464BF160B</t>
  </si>
  <si>
    <t>7.2.1-69057 update 2</t>
  </si>
  <si>
    <t>util_fhost.c:1195 Memtest passed!</t>
  </si>
  <si>
    <t>/u/CanadaX21</t>
  </si>
  <si>
    <t>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XXXXXXXX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XXXXXXXX
Asset Tag: Not Specified
Part Number: Unknown
Rank: 2
Configured Memory Speed: 2400 MT/s
Minimum Voltage: 1.2 V
Maximum Voltage: 1.2 V
Configured Voltage: 1.2 V</t>
  </si>
  <si>
    <t>76TT26NUS2R8-16G PL230811WB#NP66</t>
  </si>
  <si>
    <t>TIMETEC Hynix IC 16GB DDR4 SODIMM for Intel NUC KIT/Mini PC/HTPC/NUC Board 2666MHz PC4-21300 Non ECC Unbuffered 1.2V CL19 Dual Rank 260 Pin Memory Upgrade(16GB) (Amazon Desc) Note: I first tried a very similar TimeTec (w/o Hynix in name) module with all the same specs, but different product. It didn't work. Not sure if it was a single bad module or some other significant difference that wasn't evident.</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</si>
  <si>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8C260C01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</si>
  <si>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‎MSE21300-628K02-G</t>
  </si>
  <si>
    <t>xairrick</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</si>
  <si>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001509BB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001508FD
Asset Tag: Not Specified
Part Number: Unknown
Rank: 2
Configured Memory Speed: 2400 MT/s
Minimum Voltage: 1.2 V
Maximum Voltage: 1.2 V
Configured Voltage: 1.2 V</t>
  </si>
  <si>
    <t>Would not boot. Blue flashing power light</t>
  </si>
  <si>
    <t>r/Synology</t>
  </si>
  <si>
    <t>76TT26NUS2R8 PL220603T7#NP66</t>
  </si>
  <si>
    <t>CL-19-19-19-43 1.2V 2Rx8 16G DDR 2666 Flashing Blue lights, NAS not booting</t>
  </si>
  <si>
    <t>CT8G4S266M</t>
  </si>
  <si>
    <t>RAM marketed for Macs; seems to be out of production but stock still available</t>
  </si>
  <si>
    <t>fbender</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</si>
  <si>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859B
Serial Number: E82A1555
Asset Tag: Part Number: CT8G4S266M.M8FE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</si>
  <si>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alza.hu</t>
  </si>
  <si>
    <t>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E68548B6
Asset Tag:
Part Number: CT16G4SFD824A.C16FT
Rank: 2
Configured Memory Speed: 2400 MT/s
Minimum Voltage: 1.2 V
Maximum Voltage: 1.2 V
Configured Voltage: 1.2 V</t>
  </si>
  <si>
    <t>Valien</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</si>
  <si>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41C77381
Asset Tag:
Part Number: M471A2K43CB1-CTD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</si>
  <si>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HMA81GS7DJR8N-XN</t>
  </si>
  <si>
    <t>Even though it says "ECC" in the Amazon listing, the label does not say "ECC" on it, so I was very skeptical when I got it in hand. Thankfully it actually does have ECC. Bought it to work along with the included factory Synology 8GB stick.</t>
  </si>
  <si>
    <t>!synology@feddit.de</t>
  </si>
  <si>
    <t>Getting SMBIOS data from sysfs.
SMBIOS 3.1.1 present.
Handle 0x001F, DMI type 17, 40 bytes
Memory Device
Array Handle: 0x001E
Error Information Handle: 0x0022
Total Width: 72 bits
Data Width: 64 bits
Size: 8192 MB
Form Factor: SODIMM
Set: None
Locator: DIMM 0
Bank Locator: P0 CHANNEL A
Type: DDR4
Type Detail: Synchronous Unbuffered (Unregistered)
Speed: 3200 MT/s
Manufacturer: 06F1
Serial Number: 27----0A
Asset Tag: Not Specified
Part Number: M4DE-8GS1PC0M-C Rank: 1
Configured Memory Speed: 2400 MT/s
Minimum Voltage: 1.2 V
Maximum Voltage: 1.2 V
Configured Voltage: 1.2 V
Handle 0x0020, DMI type 17, 40 bytes
Memory Device
Array Handle: 0x001E
Error Information Handle: 0x0023
Total Width: 72 bits
Data Width: 64 bits
Size: 8192 MB
Form Factor: SODIMM
Set: None
Locator: DIMM 0
Bank Locator: P0 CHANNEL B
Type: DDR4
Type Detail: Synchronous Unbuffered (Unregistered)
Speed: 3200 MT/s
Manufacturer: Hynix
Serial Number: 86----18
Asset Tag: Not Specified
Part Number: HMAG68EXNAA075N Rank: 1
Configured Memory Speed: 2400 MT/s
Minimum Voltage: 1.2 V
Maximum Voltage: 1.2 V
Configured Voltage: 1.2 V</t>
  </si>
  <si>
    <t>Bol.com</t>
  </si>
  <si>
    <t>CT51264BF160BJ</t>
  </si>
  <si>
    <t>MSE21300-628K2</t>
  </si>
  <si>
    <t>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00150B3D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00150B0A
Asset Tag: Not Specified
Part Number: Unknown
Rank: 2
Configured Memory Speed: 2400 MT/s
Minimum Voltage: 1.2 V
Maximum Voltage: 1.2 V
Configured Voltage: 1.2 V</t>
  </si>
  <si>
    <t>M471A2K43DB1-CWE</t>
  </si>
  <si>
    <t>The first time I tried it didn't work because you have to really jam it in until it clicks at a 45° angle before pressing it down. Once I installed it correctly it worked perfectly fine</t>
  </si>
  <si>
    <t>vpsj</t>
  </si>
  <si>
    <t>India</t>
  </si>
  <si>
    <t>Amazon.in</t>
  </si>
  <si>
    <t>Estonia</t>
  </si>
  <si>
    <t>Integral</t>
  </si>
  <si>
    <t>‎IN4V16GNELSI</t>
  </si>
  <si>
    <t>OiledUpBooty</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</si>
  <si>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0000
Serial Number: 00000000
Asset Tag:
Part Number: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</si>
  <si>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Crank2507</t>
  </si>
  <si>
    <t>D23.23240S.009</t>
  </si>
  <si>
    <t>8GB SOD DDR4 2666 CL19</t>
  </si>
  <si>
    <t>FilmSudden8635</t>
  </si>
  <si>
    <t>CEX</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</si>
  <si>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017A
Serial Number: 01821425
Asset Tag:
Part Number: D23.23240S.009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</si>
  <si>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amazon.nl</t>
  </si>
  <si>
    <t>mlenior</t>
  </si>
  <si>
    <t>Azerty.nl</t>
  </si>
  <si>
    <t>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32 GB
Form Factor: SODIMM
Set: None
Locator: DIMM 0
Bank Locator: P0 CHANNEL A
Type: DDR4
Type Detail: Synchronous Unbuffered (Unregistered)
Speed: 3200 MT/s
Manufacturer: Kingston
Serial Number: CA32891D
Asset Tag: Not Specified
Part Number: 9965657-052.A00G Rank: 2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3200 MT/s
Manufacturer: Kingston
Serial Number: 1C3288F6
Asset Tag: Not Specified
Part Number: 9965657-052.A00G Rank: 2
Configured Memory Speed: 2400 MT/s
Minimum Voltage: 1.2 V
Maximum Voltage: 1.2 V
Configured Voltage: 1.2 V</t>
  </si>
  <si>
    <t>firstshop.hu</t>
  </si>
  <si>
    <t>KF426S15IB/8</t>
  </si>
  <si>
    <t>Kingston Impact Fury</t>
  </si>
  <si>
    <t>flanelsexual</t>
  </si>
  <si>
    <t>Was stuck on boot for over 10h until I pulled the plug</t>
  </si>
  <si>
    <t>KSM26SED8/32MF</t>
  </si>
  <si>
    <t>casjquz</t>
  </si>
  <si>
    <t>redgaming.it</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</si>
  <si>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32 GB
Form Factor: SODIMM
Set: None
Locator: DIMM 0
Bank Locator: P0 CHANNEL A
Type: DDR4
Type Detail: Synchronous Unbuffered (Unregistered)
Speed: 2667 MT/s
Manufacturer: Kingston
Serial Number: 5942942C
Asset Tag: Not Specified
Part Number: 9965657-057.A00G Rank: 2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2667 MT/s
Manufacturer: Kingston
Serial Number: 59429468
Asset Tag: Not Specified
Part Number: 9965657-057.A00G Rank: 2
Configured Memory Speed: 2400 MT/s
Minimum Voltage: 1.2 V
Maximum Voltage: 1.2 V
Configured Voltage: 1.2 V</t>
  </si>
  <si>
    <t>‎CT102464BF160B.M16</t>
  </si>
  <si>
    <t>B0BYKHFT2X</t>
  </si>
  <si>
    <t>KSM32SES8/16HC</t>
  </si>
  <si>
    <t>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Kingston
Serial Number: Asset Tag: Not Specified
Part Number: 9965787-002.A00G Rank: 1
Configured Memory Speed: 2400 MT/s
Minimum Voltage: 1.2 V
Maximum Voltage: 1.2 V
Configured Voltage: 1.2 V</t>
  </si>
  <si>
    <t>Micron says its supported memory.</t>
  </si>
  <si>
    <t>maitk</t>
  </si>
  <si>
    <t>Datagate.ee</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</si>
  <si>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Micron Technology
Serial Number: 3C4DB661
Asset Tag: Not Specified
Part Number: 9ASF2G72HZ-3G2F1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Micron Technology
Serial Number: 3C4DBDB9
Asset Tag: Not Specified
Part Number: 9ASF2G72HZ-3G2F1
Rank: 1
Configured Memory Speed: 2400 MT/s
Minimum Voltage: 1.2 V
Maximum Voltage: 1.2 V
Configured Voltage: 1.2 V</t>
  </si>
  <si>
    <t>tradeinn.com</t>
  </si>
  <si>
    <t>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E62292A8
Asset Tag: Not Specified
Part Number: 9965657-035.A00G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B832A433
Asset Tag: Not Specified
Part Number: 9965657-035.A00G
Rank: 2
Configured Memory Speed: 2400 MT/s
Minimum Voltage: 1.2 V
Maximum Voltage: 1.2 V
Configured Voltage: 1.2 V</t>
  </si>
  <si>
    <t>7.2.1-69057 Update 4</t>
  </si>
  <si>
    <t>System restarts random- synology support says use original modules</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</si>
  <si>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1315
	Serial Number: 22131799
	Asset Tag: 9876543210
	Part Number: CT102464BF160B.C16
	Rank: Unknown
	Configured Memory Speed: 1600 MT/s
	Minimum Voltage: Unknown
	Maximum Voltage: Unknown
	Configured Voltage: Unknown</t>
  </si>
  <si>
    <t>eu.crucial.com</t>
  </si>
  <si>
    <t>Megekko</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</si>
  <si>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32 GB
Form Factor: SODIMM
Set: None
Locator: DIMM 0
Bank Locator: P0 CHANNEL A
Type: DDR4
Type Detail: Synchronous Unbuffered (Unregistered)
Speed: 2667 MT/s
Manufacturer: Kingston
Serial Number: 6DBA365D
Asset Tag: Not Specified
Part Number: 9905744-057.A00G
Rank: 2
Configured Memory Speed: 2400 MT/s
Minimum Voltage: 1.2 V
Maximum Voltage: 1.2 V
Configured Voltage: 1.2 V
Handle 0x0020, DMI type 17, 40 bytes
Memory Device
Array Handle: 0x001E
Error Information Handle: 0x0023
Total Width: 64 bits
Data Width: 64 bits
Size: 32 GB
Form Factor: SODIMM
Set: None
Locator: DIMM 0
Bank Locator: P0 CHANNEL B
Type: DDR4
Type Detail: Synchronous Unbuffered (Unregistered)
Speed: 2667 MT/s
Manufacturer: Kingston
Serial Number: 6DBA36A0
Asset Tag: Not Specified
Part Number: 9905744-057.A00G
Rank: 2
Configured Memory Speed: 2400 MT/s
Minimum Voltage: 1.2 V
Maximum Voltage: 1.2 V
Configured Voltage: 1.2 V</t>
  </si>
  <si>
    <t>M474A2K43DB1-CVF</t>
  </si>
  <si>
    <t>It does not even recognize the RAM is in the unit. Checked the debug logs, it is not recognized there either. I attempted also with just this stick in the main slot, then it would not boot.</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</si>
  <si>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00001052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</si>
  <si>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HX318LS11IBK2/16</t>
  </si>
  <si>
    <t>reflexer</t>
  </si>
  <si>
    <t>CT2K8G3S186DM</t>
  </si>
  <si>
    <t>Timetec</t>
  </si>
  <si>
    <t>76TT26NUS2R8-32GK2</t>
  </si>
  <si>
    <t>IN4V16GNELSI</t>
  </si>
  <si>
    <t>Full memory test passed in about 3 hourse</t>
  </si>
  <si>
    <t>lmerega</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</si>
  <si>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0000
Serial Number: 00000000
Asset Tag:
Part Number: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</si>
  <si>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No issues. Recognized immediately.</t>
  </si>
  <si>
    <t>hducwanderer12</t>
  </si>
  <si>
    <t>DS720+ didn't boot. Blue light was flashing for 6 hours until I stopped it.</t>
  </si>
  <si>
    <t>m471a1g44ab0-cwe</t>
  </si>
  <si>
    <t>plug &amp; play!</t>
  </si>
  <si>
    <t>synology</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</si>
  <si>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2048 MB
Form Factor: SODIMM
Set: None
Locator: DIMM 0
Bank Locator: P0 CHANNEL A
Type: DDR4
Type Detail: Synchronous Unbuffered (Unregistered)
Speed: 2667 MT/s
Manufacturer: 06F1
Serial Number: 203602BB
Asset Tag: Not Specified
Part Number: 03-43002G011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63462C12
Asset Tag: Not Specified
Part Number: 9965657-035.A00G Rank: 2
Configured Memory Speed: 2400 MT/s
Minimum Voltage: 1.2 V
Maximum Voltage: 1.2 V
Configured Voltage: 1.2 V</t>
  </si>
  <si>
    <t>Flashing blue light for infinity</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</si>
  <si>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</si>
  <si>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SquareBottle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</si>
  <si>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0000146B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</si>
  <si>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Alternate.nl</t>
  </si>
  <si>
    <t>CT32G4SFD8266.C16FF</t>
  </si>
  <si>
    <t>Does not boot. blinking blue light over 10 minutes.</t>
  </si>
  <si>
    <t>/u/ditallow</t>
  </si>
  <si>
    <t>Passes the Memory Test started by Synology Assistant</t>
  </si>
  <si>
    <t>RS2324+</t>
  </si>
  <si>
    <t>TE416G32S822K-VC</t>
  </si>
  <si>
    <t>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DIMM
Set: None
Locator: DIMM 0
Bank Locator: P0 CHANNEL A
Type: DDR4
Type Detail: Synchronous Unbuffered (Unregistered)
Speed: 3200 MT/s
Manufacturer: 066D
Serial Number: 00000000
Asset Tag: Not Specified
Part Number: TE416G32S822K-VC
Rank: 1
Configured Memory Speed: 3200 MT/s
Minimum Voltage: 1.2 V
Maximum Voltage: 1.2 V
Configured Voltage: 1.2 V
Handle 0x0020, DMI type 17, 40 bytes
Memory Device
Array Handle: 0x001E
Error Information Handle: 0x0023
Total Width: 72 bits
Data Width: 64 bits
Size: 16384 MB
Form Factor: DIMM
Set: None
Locator: DIMM 0
Bank Locator: P0 CHANNEL B
Type: DDR4
Type Detail: Synchronous Unbuffered (Unregistered)
Speed: 3200 MT/s
Manufacturer: 066D
Serial Number: 00000000
Asset Tag: Not Specified
Part Number: TE416G32S822K-VC
Rank: 1
Configured Memory Speed: 3200 MT/s
Minimum Voltage: 1.2 V
Maximum Voltage: 1.2 V
Configured Voltage: 1.2 V</t>
  </si>
  <si>
    <t>"Memtest passed!" after 6h</t>
  </si>
  <si>
    <t>P/N: 9965657-035.A00G</t>
  </si>
  <si>
    <t>Greece</t>
  </si>
  <si>
    <t>PriveShop</t>
  </si>
  <si>
    <t>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
Asset Tag: Not Specified
Part Number: 9965657-035.A00G
Rank: 2
Configured Memory Speed: 2400 MT/s
Minimum Voltage: 1.2 V
Maximum Voltage: 1.2 V
Configured Voltage: 1.2 V</t>
  </si>
  <si>
    <t>Z</t>
  </si>
  <si>
    <t>AMAZON</t>
  </si>
  <si>
    <t>MotoChooch</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</si>
  <si>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Hynix
Serial Number: 8585387A
Asset Tag: Not Specified
Part Number: HMA82GS7CJR8N-VK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Hynix
Serial Number: 8585372F
Asset Tag: Not Specified
Part Number: HMA82GS7CJR8N-VK
Rank: 2
Configured Memory Speed: 2400 MT/s
Minimum Voltage: 1.2 V
Maximum Voltage: 1.2 V
Configured Voltage: 1.2 V</t>
  </si>
  <si>
    <t>TED3L8G1600C11-S01</t>
  </si>
  <si>
    <t>Had a blue light death, after reseating the ram worked perfectly.</t>
  </si>
  <si>
    <t>crashburn162</t>
  </si>
  <si>
    <t>Bulgaria</t>
  </si>
  <si>
    <t>Stantek</t>
  </si>
  <si>
    <t>Kotsovolos</t>
  </si>
  <si>
    <t>kingston</t>
  </si>
  <si>
    <t>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E59177F9
Asset Tag: Part Number: 9905744-108.A00G Rank: 2
Configured Memory Speed: 2400 MT/s
Minimum Voltage: 1.2 V
Maximum Voltage: 1.2 V
Configured Voltage: 1.2 V</t>
  </si>
  <si>
    <t>Valy</t>
  </si>
  <si>
    <t>senetic.ro</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</si>
  <si>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Micron Technology
Serial Number: 3E83D27A
Asset Tag: Not Specified
Part Number: 9ASF2G72HZ-3G2F1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Micron Technology
Serial Number: 3E83D26F
Asset Tag: Not Specified
Part Number: 9ASF2G72HZ-3G2F1
Rank: 1
Configured Memory Speed: 2400 MT/s
Minimum Voltage: 1.2 V
Maximum Voltage: 1.2 V
Configured Voltage: 1.2 V</t>
  </si>
  <si>
    <t>fox1992</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</si>
  <si>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36C23934
Asset Tag:
Part Number: M471A2K43CB1-CTD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</si>
  <si>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16KTF1G64HZ-1G9P1</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</si>
  <si>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1866 MT/s
Manufacturer: Micron
Serial Number: 18441346
Asset Tag: 9876543210
Part Number: 16KTF1G64HZ-1G9P1
Rank: Unknown
Configured Memory Speed: 1866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1866 MT/s
Manufacturer: Micron
Serial Number: 18441347
Asset Tag: 9876543210
Part Number: 16KTF1G64HZ-1G9P1
Rank: Unknown
Configured Memory Speed: 1866 MT/s
Minimum Voltage: Unknown
Maximum Voltage: Unknown
Configured Voltage: Unknown</t>
  </si>
  <si>
    <t>MSE21300 - 628</t>
  </si>
  <si>
    <t>Sk Hynix Ram Chiplets</t>
  </si>
  <si>
    <t>Unfair-Sell</t>
  </si>
  <si>
    <t>Amazon (Singapore)</t>
  </si>
  <si>
    <t>7.2.1-69057 update 4</t>
  </si>
  <si>
    <t>76tt26nus2r8-16g</t>
  </si>
  <si>
    <t>u/tuck1s</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</si>
  <si>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00000DB0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</si>
  <si>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CT51264BF160B.C16F</t>
  </si>
  <si>
    <t>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4096 MB
Form Factor: SODIMM
Set: None
Locator: ChannelA-DIMM0
Bank Locator: BANK 0
Type: DDR3
Type Detail: Synchronous
Speed: 1600 MT/s
Manufacturer: 1315
Serial Number: 23199113
Asset Tag: 9876543210
Part Number: CT51264BF160B.C16F
Rank: Unknown
Configured Memory Speed: 1600 MT/s
Minimum Voltage: Unknown
Maximum Voltage: Unknown
Configured Voltage: Unknown
Handle 0x0025, DMI type 17, 40 bytes
Memory Device
Array Handle: 0x0023
Error Information Handle: No Error
Total Width: 8 bits
Data Width: 8 bits
Size: 4096 MB
Form Factor: SODIMM
Set: None
Locator: ChannelB-DIMM0
Bank Locator: BANK 1
Type: DDR3
Type Detail: Synchronous
Speed: 1600 MT/s
Manufacturer: 1315
Serial Number: 23191017
Asset Tag: 9876543210
Part Number: CT51264BF160B.C16F
Rank: Unknown
Configured Memory Speed: 1600 MT/s
Minimum Voltage: Unknown
Maximum Voltage: Unknown
Configured Voltage: Unknown</t>
  </si>
  <si>
    <t>CT2K8G4SFS824A</t>
  </si>
  <si>
    <t>Without any issues</t>
  </si>
  <si>
    <t>Mad_Snow</t>
  </si>
  <si>
    <t>office-partner.de</t>
  </si>
  <si>
    <t>System won't start, blue light blinked over 1h and nothing.</t>
  </si>
  <si>
    <t>Onlinetrade.ru</t>
  </si>
  <si>
    <t>WWW.PCX.HU</t>
  </si>
  <si>
    <t>KVR26S19S8</t>
  </si>
  <si>
    <t>CT8G3S186DM.M16FP</t>
  </si>
  <si>
    <t>Apathetic_Superhero</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</si>
  <si>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1866 MT/s
Manufacturer: 1315
Serial Number: 00000000
Asset Tag: 9876543210
Part Number: CT8G3S186DM.M16FP
Rank: Unknown
Configured Memory Speed: 1866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1866 MT/s
Manufacturer: 1315
Serial Number: 00000000
Asset Tag: 9876543210
Part Number: CT8G3S186DM.M16FP
Rank: Unknown
Configured Memory Speed: 1866 MT/s
Minimum Voltage: Unknown
Maximum Voltage: Unknown
Configured Voltage: Unknown</t>
  </si>
  <si>
    <t>CT16G4SFD8266.M16FJ</t>
  </si>
  <si>
    <t>Avito (second hand)</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</si>
  <si>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E30CBC56
Asset Tag: Part Number: CT16G4SFD8266.M16FJ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</si>
  <si>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G.Skill</t>
  </si>
  <si>
    <t>F3-1866C11D-16GRSL</t>
  </si>
  <si>
    <t>Informatique</t>
  </si>
  <si>
    <t>Patriot Viper</t>
  </si>
  <si>
    <t>PVS416G266C8S</t>
  </si>
  <si>
    <t>KF1866C11S3L/4G</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</si>
  <si>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4096 MB
Form Factor: SODIMM
Set: None
Locator: ChannelA-DIMM0
Bank Locator: BANK 0
Type: DDR3
Type Detail: Synchronous
Speed: 1866 MT/s
Manufacturer: Kingston
Serial Number: 74234884
Asset Tag: 9876543210
Part Number: KF1866C11S3L/4G
Rank: Unknown
Configured Memory Speed: 1866 MT/s
Minimum Voltage: Unknown
Maximum Voltage: Unknown
Configured Voltage: Unknown
Handle 0x0025, DMI type 17, 40 bytes
Memory Device
Array Handle: 0x0023
Error Information Handle: No Error
Total Width: 8 bits
Data Width: 8 bits
Size: 4096 MB
Form Factor: SODIMM
Set: None
Locator: ChannelB-DIMM0
Bank Locator: BANK 1
Type: DDR3
Type Detail: Synchronous
Speed: 1866 MT/s
Manufacturer: Kingston
Serial Number: 74361713
Asset Tag: 9876543210
Part Number: KF1866C11S3L/4G
Rank: Unknown
Configured Memory Speed: 1866 MT/s
Minimum Voltage: Unknown
Maximum Voltage: Unknown
Configured Voltage: Unknown
root@DS718p:~#</t>
  </si>
  <si>
    <t>KSM26SES8/16MF</t>
  </si>
  <si>
    <t>It's ECC RAM, but the RS820+ and RS820RP+ does not support the ECC function (it says so in the manual); Only one module can be installed, the default 2GB are soldered to the motherboard as 4 BGA memory chips and not in a socket that could fit a larger module</t>
  </si>
  <si>
    <t>NightmareJoker2</t>
  </si>
  <si>
    <t># dmidecode 3.2
Getting SMBIOS data from sysfs.
SMBIOS 2.8 present.
Handle 0x0014, DMI type 16, 23 bytes
Physical Memory Array
Location: System Board Or Motherboard
Use: System Memory
Error Correction Type: None
Maximum Capacity: 18 GB
Error Information Handle: No Error
Number Of Devices: 2
Handle 0x0015, DMI type 17, 40 bytes
Memory Device
Array Handle: 0x0014
Error Information Handle: No Error
Total Width: 64 bits
Data Width: 64 bits
Size: 2048 MB
Form Factor: Row Of Chips
Set: None
Locator: DIMM0
Bank Locator: BANK 0
Type: DDR4
Type Detail: Synchronous
Speed: 2666 MT/s
Manufacturer: Synology
Serial Number: 00000000
Asset Tag: 01
Part Number: SYNOLOGYMEMORYDOWN
Rank: 1
Configured Memory Speed: 2133 MT/s
Minimum Voltage: 1.2 V
Maximum Voltage: 1.2 V
Configured Voltage: 1.2 V
Handle 0x0016, DMI type 17, 40 bytes
Memory Device
Array Handle: 0x0014
Error Information Handle: No Error
Total Width: 72 bits
Data Width: 64 bits
Size: 16384 MB
Form Factor: SODIMM
Set: None
Locator: DIMM1
Bank Locator: BANK 0
Type: DDR4
Type Detail: Synchronous
Speed: 2666 MT/s
Manufacturer: Kingston
Serial Number: ********
Asset Tag: 02
Part Number: 9965787-011.A00G
Rank: 1
Configured Memory Speed: 2133 MT/s
Minimum Voltage: 1.2 V
Maximum Voltage: 1.2 V
Configured Voltage: 1.2 V</t>
  </si>
  <si>
    <t>HMAG68EXNAA075N</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</si>
  <si>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8192 MB
Form Factor: SODIMM
Set: None
Locator: DIMM 0
Bank Locator: P0 CHANNEL A
Type: DDR4
Type Detail: Synchronous Unbuffered (Unregistered)
Speed: 3200 MT/s
Manufacturer: Hynix
Serial Number: 861F0BA6
Asset Tag: Not Specified
Part Number: HMAG68EXNAA075N Rank: 1
Configured Memory Speed: 2400 MT/s
Minimum Voltage: 1.2 V
Maximum Voltage: 1.2 V
Configured Voltage: 1.2 V
Handle 0x0020, DMI type 17, 40 bytes
Memory Device
Array Handle: 0x001E
Error Information Handle: 0x0023
Total Width: 72 bits
Data Width: 64 bits
Size: 8192 MB
Form Factor: SODIMM
Set: None
Locator: DIMM 0
Bank Locator: P0 CHANNEL B
Type: DDR4
Type Detail: Synchronous Unbuffered (Unregistered)
Speed: 3200 MT/s
Manufacturer: Hynix
Serial Number: 861F0B68
Asset Tag: Not Specified
Part Number: HMAG68EXNAA075N Rank: 1
Configured Memory Speed: 2400 MT/s
Minimum Voltage: 1.2 V
Maximum Voltage: 1.2 V
Configured Voltage: 1.2 V</t>
  </si>
  <si>
    <t>No issues. Immediate boot up.</t>
  </si>
  <si>
    <t>u/hoggerjeff</t>
  </si>
  <si>
    <t>Worked like a charm, installed it and it started right up without any fuss.</t>
  </si>
  <si>
    <t>Stole it off a Lenovo laptop.</t>
  </si>
  <si>
    <t>MTA18ASF2G72HZ-3G2R1R</t>
  </si>
  <si>
    <t>Synology Assistant RAM Tester : Successfully pass and no error or warning</t>
  </si>
  <si>
    <t>Europe</t>
  </si>
  <si>
    <t>Digitec</t>
  </si>
  <si>
    <t>KF426S16IB/16</t>
  </si>
  <si>
    <t>Flashing blue light, wont boot.</t>
  </si>
  <si>
    <t>M471A2K43DB1-CTD</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</si>
  <si>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[Redacted]
Asset Tag: Part Number: M471A2K43DB1-CTD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</si>
  <si>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 dmidecode 3.2</t>
  </si>
  <si>
    <t>wwwsam</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</si>
  <si>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Kingston
Serial Number: 5946191E
Asset Tag: Not Specified
Part Number: 9965787-002.A00G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Kingston
Serial Number: 634618E5
Asset Tag: Not Specified
Part Number: 9965787-002.A00G
Rank: 1
Configured Memory Speed: 2400 MT/s
Minimum Voltage: 1.2 V
Maximum Voltage: 1.2 V
Configured Voltage: 1.2 V</t>
  </si>
  <si>
    <t>System booted with no problem, no warning, all works fine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</si>
  <si>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859B
Serial Number: E7F765F4
Asset Tag:
Part Number: CT4G4SFS8266.M8FF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</si>
  <si>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MTA4ATF51264HZ-2G6E1</t>
  </si>
  <si>
    <t>seems to work fine</t>
  </si>
  <si>
    <t>u/negatronik</t>
  </si>
  <si>
    <t>DS214+</t>
  </si>
  <si>
    <t>CT8G4SFRA266.M8FR</t>
  </si>
  <si>
    <t>L. Montreuil</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</si>
  <si>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859B
Serial Number: E7F3172C
Asset Tag: Part Number: CT8G4SFRA266.M8FR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</si>
  <si>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DS713+</t>
  </si>
  <si>
    <t>MT8KTF51264HZ-1G6N1</t>
  </si>
  <si>
    <t>CMSX16GX4M1A266C18</t>
  </si>
  <si>
    <t>Blue blinking light, no start up</t>
  </si>
  <si>
    <t>newegg</t>
  </si>
  <si>
    <t>DS620slim</t>
  </si>
  <si>
    <t>7.1-42661 Update 3</t>
  </si>
  <si>
    <t>M471B5273CH0 -YK0</t>
  </si>
  <si>
    <t>1Rx8 works; otherwise not</t>
  </si>
  <si>
    <t>Hong Kong</t>
  </si>
  <si>
    <t>locally</t>
  </si>
  <si>
    <t>M471B1G73EB0-YK0</t>
  </si>
  <si>
    <t>1Rx8 works; 2Rx8 does not</t>
  </si>
  <si>
    <t>locally purchased</t>
  </si>
  <si>
    <t># dmidecode 3.2
Getting SMBIOS data from sysfs.
SMBIOS 3.0.0 present.
Handle 0x0023, DMI type 16, 23 bytes
Physical Memory Array
Location: System Board Or Motherboard
Use: System Memory
Error Correction Type: None
Maximum Capacity: 32 GB
Error Information Handle: No Error
Number Of Devices: 2
Handle 0x0024, DMI type 17, 40 bytes
Memory Device
Array Handle: 0x0023
Error Information Handle: No Error
Total Width: 8 bits
Data Width: 8 bits
Size: 8192 MB
Form Factor: SODIMM
Set: None
Locator: ChannelB-DIMM0
Bank Locator: BANK 1
Type: DDR3
Type Detail: Synchronous
Speed: 1600 MT/s
Manufacturer: Samsung
Serial Number: 11112198
Asset Tag: 9876543210
Part Number: M471B1G73EB0-YK0 Rank: Unknown
Configured Memory Speed: 1600 MT/s
Minimum Voltage: Unknown
Maximum Voltage: Unknown
Configured Voltage: Unknown</t>
  </si>
  <si>
    <t>7.2.1-69057 Update 5</t>
  </si>
  <si>
    <t>Also tested in DS220+ and worked fine.</t>
  </si>
  <si>
    <t>Kramy</t>
  </si>
  <si>
    <t>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XXXXXXXX
Asset Tag:
Part Number: CT16G4SFD8266.M16FRS
Rank: 2
Configured Memory Speed: 2400 MT/s
Minimum Voltage: 1.2 V
Maximum Voltage: 1.2 V
Configured Voltage: 1.2 V</t>
  </si>
  <si>
    <t>TIMETEC-S16G-2666</t>
  </si>
  <si>
    <t>Also works fine in DS220+</t>
  </si>
  <si>
    <t>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XXXXXXXX
Asset Tag:
Part Number: TIMETEC-S16G-2666
Rank: 2
Configured Memory Speed: 2400 MT/s
Minimum Voltage: 1.2 V
Maximum Voltage: 1.2 V
Configured Voltage: 1.2 V</t>
  </si>
  <si>
    <t>Assembled in TAIWAN 16GB - 2666 CL 19 260 - Pin SODIMM</t>
  </si>
  <si>
    <t>czone.my</t>
  </si>
  <si>
    <t>jjo</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</si>
  <si>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Hynix
Serial Number: 25980400
Asset Tag: Not Specified
Part Number: KD426662RX8ES/16GB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Hynix
Serial Number: 25980400
Asset Tag: Not Specified
Part Number: KD426662RX8ES/16GB
Rank: 2
Configured Memory Speed: 2400 MT/s
Minimum Voltage: 1.2 V
Maximum Voltage: 1.2 V
Configured Voltage: 1.2 V</t>
  </si>
  <si>
    <t>ADATA</t>
  </si>
  <si>
    <t>AD4S26664G19-SGN</t>
  </si>
  <si>
    <t>MattXDD</t>
  </si>
  <si>
    <t>emag.ro</t>
  </si>
  <si>
    <t>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04CB
Serial Number: E2230500
Asset Tag:
Part Number:
Rank: 1
Configured Memory Speed: 2400 MT/s
Minimum Voltage: 1.2 V
Maximum Voltage: 1.2 V
Configured Voltage: 1.2 V</t>
  </si>
  <si>
    <t>Requires a bit of force to go in</t>
  </si>
  <si>
    <t>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Kingston
Serial Number: 02972087
Asset Tag:
Part Number: 9905711-059.A00G
Rank: 1
Configured Memory Speed: 2400 MT/s
Minimum Voltage: 1.2 V
Maximum Voltage: 1.2 V
Configured Voltage: 1.2 V</t>
  </si>
  <si>
    <t>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Kingston
Serial Number: FFD51A85
Asset Tag:
Part Number: 99U5700-027.A00G
Rank: 1
Configured Memory Speed: 2400 MT/s
Minimum Voltage: 1.2 V
Maximum Voltage: 1.2 V
Configured Voltage: 1.2 V</t>
  </si>
  <si>
    <t>76TT26NUS2R8-16G PL240102MX#NP66</t>
  </si>
  <si>
    <t>Just blinking blue light, no boot</t>
  </si>
  <si>
    <t>Caanda</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</si>
  <si>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DIMM
Set: None
Locator: ChannelA-DIMM0
Bank Locator: BANK 0
Type: DDR4
Type Detail: Synchronous
Speed: 2400 MT/s
Manufacturer: SK Hynix
Serial Number: 85853405
Asset Tag:
Part Number: HMA82GS7CJR8N-VK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</si>
  <si>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OWC2C6D42R816GB</t>
  </si>
  <si>
    <t>ECC yes, but the CPU does not support I think, so don't waste your money</t>
  </si>
  <si>
    <t>Memory Device
Array Handle: 0x0020
Error Information Handle: No Error
Total Width: 64 bits
Data Width: 64 bits
Size: 16384 MB
Form Factor: SODIMM
Set: None
Locator: ChannelA-DIMM0
Bank Locator: BANK 0
Type: DDR4
Type Detail: Synchronous Unbuffered (Unregistered)
Speed: 2400 MT/s
Manufacturer: 0000
Serial Number: &lt;REDACTED&gt;
Asset Tag:
Part Number:
Rank: 2
Configured Memory Speed: 2400 MT/s
Minimum Voltage: 1.2 V
Maximum Voltage: 1.2 V
Configured Voltage: 1.2 V</t>
  </si>
  <si>
    <t>OWC (Other World Computing)</t>
  </si>
  <si>
    <t>The DS would not boot the first time that I installed them. After removing them and re-installing them, it booted fine.</t>
  </si>
  <si>
    <t>teddy2kk</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</si>
  <si>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001615AF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001615B0
Asset Tag: Not Specified
Part Number: Unknown
Rank: 2
Configured Memory Speed: 2400 MT/s
Minimum Voltage: 1.2 V
Maximum Voltage: 1.2 V
Configured Voltage: 1.2 V</t>
  </si>
  <si>
    <t>sylsylsylsylsylsyl</t>
  </si>
  <si>
    <t>www.kingstonmemoryshop.co.uk</t>
  </si>
  <si>
    <t>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xxxxxxxx
Asset Tag: Not Specified
Part Number: 9965657-055.A00G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xxxxxxxx
Asset Tag: Not Specified
Part Number: 9965657-055.A00G
Rank: 2
Configured Memory Speed: 2400 MT/s
Minimum Voltage: 1.2 V
Maximum Voltage: 1.2 V
Configured Voltage: 1.2 V</t>
  </si>
  <si>
    <t>OWC2C6D42R8032P (contains OWC2C6D42R816GB x2)</t>
  </si>
  <si>
    <t>RAM modules are not labeled ECC but listing is. Confirmed with OWC leadership.</t>
  </si>
  <si>
    <t>/u/NotCreativeToday</t>
  </si>
  <si>
    <t>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nnnnnnnX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nnnnnnXn
Asset Tag: Not Specified
Part Number: Unknown
Rank: 2
Configured Memory Speed: 2400 MT/s
Minimum Voltage: 1.2 V
Maximum Voltage: 1.2 V
Configured Voltage: 1.2 V</t>
  </si>
  <si>
    <t>DDR4 2666 MHz CL19 SO-DIMM</t>
  </si>
  <si>
    <t>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&lt;redacted&gt;
Asset Tag:
Part Number: CT16G4SFRA266.M16FJ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</si>
  <si>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AM1P24HC4R1-BUNS</t>
  </si>
  <si>
    <t>NAS does not boot. Blinking blue light, no status light. Disks are not powered up</t>
  </si>
  <si>
    <t>ChrisTheChti</t>
  </si>
  <si>
    <t>ACER laptop</t>
  </si>
  <si>
    <t>corwio</t>
  </si>
  <si>
    <t>Dell</t>
  </si>
  <si>
    <t>u/notgoodwusernames</t>
  </si>
  <si>
    <t>Talked to supplier prior to ordering and confirmed that they regularly sell these modules for use in Synology NASs. They explicitly state that they are dual rank X8 modules on the product page.</t>
  </si>
  <si>
    <t>www.ramcity.com.au</t>
  </si>
  <si>
    <t>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E68F1937
	Asset Tag:
	Part Number: CT16G4SFRA32A.C16FT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</si>
  <si>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root@DS718p:~# dmidecode -t memory
#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4096 MB
Form Factor: SODIMM
Set: None
Locator: ChannelA-DIMM0
Bank Locator: BANK 0
Type: DDR3
Type Detail: Synchronous
Speed: 1866 MT/s
Manufacturer: Kingston
Serial Number: 74234884
Asset Tag: 9876543210
Part Number: KF1866C11S3L/4G
Rank: Unknown
Configured Memory Speed: 1866 MT/s
Minimum Voltage: Unknown
Maximum Voltage: Unknown
Configured Voltage: Unknown
Handle 0x0025, DMI type 17, 40 bytes
Memory Device
Array Handle: 0x0023
Error Information Handle: No Error
Total Width: 8 bits
Data Width: 8 bits
Size: 4096 MB
Form Factor: SODIMM
Set: None
Locator: ChannelB-DIMM0
Bank Locator: BANK 1
Type: DDR3
Type Detail: Synchronous
Speed: 1866 MT/s
Manufacturer: Kingston
Serial Number: 74361713
Asset Tag: 9876543210
Part Number: KF1866C11S3L/4G
Rank: Unknown
Configured Memory Speed: 1866 MT/s
Minimum Voltage: Unknown
Maximum Voltage: Unknown
Configured Voltage: Unknown
root@DS718p:~#</t>
  </si>
  <si>
    <t>CMSX16GX4M1A3200C22</t>
  </si>
  <si>
    <t>Iceland</t>
  </si>
  <si>
    <t>CT8G3S186DM</t>
  </si>
  <si>
    <t>https://www.amac.nl</t>
  </si>
  <si>
    <t>B0991FM7RQ</t>
  </si>
  <si>
    <t>Double-check seated properly else flashing blue for eternity</t>
  </si>
  <si>
    <t>bc3tech</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</si>
  <si>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DIMM
Set: None
Locator: ChannelA-DIMM0
Bank Locator: BANK 0
Type: DDR4
Type Detail: Synchronous
Speed: 2400 MT/s
Manufacturer: SK Hynix
Serial Number: 8585391B
Asset Tag:
Part Number: HMA82GS7CJR8N-VK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t>
  </si>
  <si>
    <t>CMSX16GX4M1A2400C16</t>
  </si>
  <si>
    <t>No issues whatsoever. Installed and booted up just fine.</t>
  </si>
  <si>
    <t>Amazon.com.be</t>
  </si>
  <si>
    <t>M471A2K43CB1-CRC</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</si>
  <si>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3985F51A
Asset Tag:
Part Number: M471A2K43CB1-CRC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</si>
  <si>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TED432G3200C22DC-S01</t>
  </si>
  <si>
    <t>No issues; 32gb kit for $53.99 USD (5/31/2024)</t>
  </si>
  <si>
    <t>Ebuyer.com</t>
  </si>
  <si>
    <t>Does not boot upon power-up. Stuck on blinking blue light/memory check for 1h.</t>
  </si>
  <si>
    <t>u/amdrial</t>
  </si>
  <si>
    <t>7.21.1-69057 Update 5</t>
  </si>
  <si>
    <t>CT16G4DFD824A</t>
  </si>
  <si>
    <t>DDR4-2400 UDIMM</t>
  </si>
  <si>
    <t>CT102464BF826B.C16FPD</t>
  </si>
  <si>
    <t>DDR4-2666 SODIMM 1.2V CL19 1Rx4, error free memtest took 5 hours</t>
  </si>
  <si>
    <t>local online reseller</t>
  </si>
  <si>
    <t>www.minipriceexpress.com</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</si>
  <si>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E9080ABB
Asset Tag:
Part Number: CT16G4S266M.M16FE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</si>
  <si>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u/deseantan</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</si>
  <si>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removed
Asset Tag: Not Specified
Part Number: Unknown
Rank: 2
Configured Memory Speed: 2400 MT/s
Minimum Voltage: 1.2 V
Maximum Voltage: 1.2 V
Configured Voltage: 1.2 V</t>
  </si>
  <si>
    <t>7.2.1 -69057 Update 5</t>
  </si>
  <si>
    <t>pcx.hu</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</si>
  <si>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E85BDF7E
Asset Tag:
Part Number: CT16G4SFD824A.M16FE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</si>
  <si>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Lexar</t>
  </si>
  <si>
    <t>LD4AS016G-B3200ASST</t>
  </si>
  <si>
    <t>KVR24S17D8/16</t>
  </si>
  <si>
    <t>Passed memtest</t>
  </si>
  <si>
    <t>rlight</t>
  </si>
  <si>
    <t>Re-used Intel NUC third party RAM</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</si>
  <si>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SK Hynix
Serial Number: 83C53877
Asset Tag: Part Number: HMA82GS6CJR8N-VK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</si>
  <si>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MTA16ATF4G64HZ-2G6B3</t>
  </si>
  <si>
    <t>Blue Light, won't boot</t>
  </si>
  <si>
    <t>iMac 2020 pull</t>
  </si>
  <si>
    <t>Works great, but I do have the -r flag in the HDD DB script so I wouldn't expect a warning anyway.</t>
  </si>
  <si>
    <t>seekified</t>
  </si>
  <si>
    <t>2nd hand</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</si>
  <si>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059B
Serial Number: 186596EC
Asset Tag: Part Number: CT16G4SFRA266.M16FR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</si>
  <si>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7.2.1-69057 update 5</t>
  </si>
  <si>
    <t>Failed to boot</t>
  </si>
  <si>
    <t>Failed to Boot</t>
  </si>
  <si>
    <t>You must remove the ECC ram that came with it</t>
  </si>
  <si>
    <t>76TT24NUS2R8-16G</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</si>
  <si>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SK Hynix
Serial Number: Asset Tag:
Part Number: HMA82GS6AFR8N-UH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</si>
  <si>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KCP426SS8/16</t>
  </si>
  <si>
    <t>Turkey</t>
  </si>
  <si>
    <t>amazon.jp</t>
  </si>
  <si>
    <t>CT4GSFS8266</t>
  </si>
  <si>
    <t>Leytonstoner</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</si>
  <si>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859B
Serial Number: E84F15C3
Asset Tag:
Part Number: CT4G4SFS8266.M8FF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</si>
  <si>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pchilenski</t>
  </si>
  <si>
    <t>Booted after 5 mins</t>
  </si>
  <si>
    <t>diemeu</t>
  </si>
  <si>
    <t>*\dsm\var\log\messages - Memtest passed! 3x times</t>
  </si>
  <si>
    <t>r/Aygul12345</t>
  </si>
  <si>
    <t>megekko.nl / Amazon.de</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</si>
  <si>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E424A6C5
Asset Tag:
Part Number: 9905744-091.A00G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</si>
  <si>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HMA81GS6CJR8N-VK</t>
  </si>
  <si>
    <t>Lenovo laptop</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</si>
  <si>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SK Hynix
Serial Number: 42B74863
Asset Tag: Part Number: HMA81GS6CJR8N-VK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</si>
  <si>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06F1
Serial Number: 143F0166
Asset Tag: Not Specified
Part Number: M4DE-4GSSPC0M-F Rank: 1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0A76
Serial Number: 645313F3
Asset Tag: Not Specified
Part Number: LD4AS016G-3200ST Rank: 1
Configured Memory Speed: 2400 MT/s
Minimum Voltage: 1.2 V
Maximum Voltage: 1.2 V
Configured Voltage: 1.2 V</t>
  </si>
  <si>
    <t>CT102464BF824B.C16FPD</t>
  </si>
  <si>
    <t>weekoh</t>
  </si>
  <si>
    <t>Lazada</t>
  </si>
  <si>
    <t>Array Handle: 0x0020
Error Information Handle: No Error
Total Width: 64 bits
Data Width: 64 bits
Size: 4096 MB
Form Factor: SODIMM
Set: None
Locator: ChannelA-DIMM0
Bank Locator: BANK 0
Type: DDR4
Type Detail: Synchronous Unbuffered (Unregistered)
Speed: 2400 MT/s
Manufacturer: 059B
Serial Number: B1954F1A
Asset Tag:
Part Number: 99U5428-063.A00LF
Rank: 1
Configured Memory Speed: 2400 MT/s
Minimum Voltage: 1.2 V
Maximum Voltage: 1.2 V
Configured Voltage: 1.2 V</t>
  </si>
  <si>
    <t>Hynix (branded XUM)</t>
  </si>
  <si>
    <t>LX8GDDR4V2666</t>
  </si>
  <si>
    <t>Dual Rank</t>
  </si>
  <si>
    <t>an-chois</t>
  </si>
  <si>
    <t>CT16G4SFD824A.C16FJ</t>
  </si>
  <si>
    <t>Found in HP ProDesk 400 G6 mini</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</si>
  <si>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E2EF64A1
Asset Tag:
Part Number: CT16G4SFD824A.C16FJ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</si>
  <si>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CT102464BF160B.C16FED</t>
  </si>
  <si>
    <t>Kit of 2</t>
  </si>
  <si>
    <t>u/Medical-Math-8477</t>
  </si>
  <si>
    <t>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0515
Serial Number: 18934514
Asset Tag: 9876543210
Part Number: CT102464BF160B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0515
Serial Number: 18934514
Asset Tag: 9876543210
Part Number: CT102464BF160B
Rank: Unknown
Configured Memory Speed: 1600 MT/s
Minimum Voltage: Unknown
Maximum Voltage: Unknown
Configured Voltage: Unknown</t>
  </si>
  <si>
    <t>It doesn't boot. The blue led stays blinking</t>
  </si>
  <si>
    <t>atariPunk</t>
  </si>
  <si>
    <t>Patriot</t>
  </si>
  <si>
    <t>PSD48G266681S</t>
  </si>
  <si>
    <t>alltron.ch</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</si>
  <si>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029E
Serial Number: 00000000
Asset Tag: Part Number: CMSX16GX4M1A2666C18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</si>
  <si>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DS1618+</t>
  </si>
  <si>
    <t>CMSX16GX4M2A2400C16</t>
  </si>
  <si>
    <t># dmidecode 3.2
Getting SMBIOS data from sysfs.
SMBIOS 2.8 present.
Handle 0x0014, DMI type 16, 23 bytes
Physical Memory Array
	Location: System Board Or Motherboard
	Use: System Memory
	Error Correction Type: Single-bit ECC
	Maximum Capacity: 32 GB
	Error Information Handle: No Error
	Number Of Devices: 2
Handle 0x0015, DMI type 17, 40 bytes
Memory Device
	Array Handle: 0x0014
	Error Information Handle: No Error
	Total Width: 64 bits
	Data Width: 64 bits
	Size: 8192 MB
	Form Factor: SODIMM
	Set: None
	Locator: DIMM0
	Bank Locator: BANK 1
	Type: DDR4
	Type Detail: Synchronous
	Speed: 2400 MT/s
	Manufacturer: 029E
	Serial Number: 00000000
	Asset Tag: 01
	Part Number: CMSX16GX4M2A2400C16 
	Rank: 1
	Configured Memory Speed: 2133 MT/s
	Minimum Voltage: 1.2 V
	Maximum Voltage: 1.2 V
	Configured Voltage: 1.2 V
Handle 0x0016, DMI type 17, 40 bytes
Memory Device
	Array Handle: 0x0014
	Error Information Handle: No Error
	Total Width: 64 bits
	Data Width: 64 bits
	Size: 8192 MB
	Form Factor: SODIMM
	Set: None
	Locator: DIMM1
	Bank Locator: BANK 1
	Type: DDR4
	Type Detail: Synchronous
	Speed: 2400 MT/s
	Manufacturer: 029E
	Serial Number: 00000000
	Asset Tag: 02
	Part Number: CMSX16GX4M2A2400C16 
	Rank: 1
	Configured Memory Speed: 2133 MT/s
	Minimum Voltage: 1.2 V
	Maximum Voltage: 1.2 V
	Configured Voltage: 1.2 V</t>
  </si>
  <si>
    <t>None, works as expected</t>
  </si>
  <si>
    <t>/u/Ok_Distance9511</t>
  </si>
  <si>
    <t>Nemix</t>
  </si>
  <si>
    <t>Added to original 4GB memory and works fine</t>
  </si>
  <si>
    <t>None</t>
  </si>
  <si>
    <t>USA but delivered to Australia</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</si>
  <si>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06F1
Serial Number: 1F55002C
Asset Tag: Not Specified
Part Number: M4DE-4GSSPC0M-F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Hynix
Serial Number: 69000500
Asset Tag: Not Specified
Part Number: KD426662RX8ES/16GB
Rank: 2
Configured Memory Speed: 2400 MT/s
Minimum Voltage: 1.2 V
Maximum Voltage: 1.2 V
Configured Voltage: 1.2 V</t>
  </si>
  <si>
    <t>Added to original 2GB -all good</t>
  </si>
  <si>
    <t>Dev</t>
  </si>
  <si>
    <t>USA but Transported to Australia (I did the same with my DS923+)</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</si>
  <si>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2048 MB
Form Factor: SODIMM
Set: None
Locator: DIMM 0
Bank Locator: P0 CHANNEL A
Type: DDR4
Type Detail: Synchronous Unbuffered (Unregistered)
Speed: 2667 MT/s
Manufacturer: 017A
Serial Number: 17404857
Asset Tag: Not Specified
Part Number: 03-43002G001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Hynix
Serial Number: 69000500
Asset Tag: Not Specified
Part Number: KD426662RX8ES/16GB
Rank: 2
Configured Memory Speed: 2400 MT/s
Minimum Voltage: 1.2 V
Maximum Voltage: 1.2 V
Configured Voltage: 1.2 V</t>
  </si>
  <si>
    <t>Product description : 16GB 2666MHz DDR4 ECC CL19 SODIMM 2Rx8 Hynix D</t>
  </si>
  <si>
    <t>r/Own-Collar2624</t>
  </si>
  <si>
    <t>KSM26SED8/32HC</t>
  </si>
  <si>
    <t>KSM26SED/16HD</t>
  </si>
  <si>
    <t>Kingston Store UK</t>
  </si>
  <si>
    <t>KF426S15IB1K2/32</t>
  </si>
  <si>
    <t>Memtest passed ok</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</si>
  <si>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2667 MT/s
Manufacturer: Kingston
Serial Number: 843C2DF8
Asset Tag: Not Specified
Part Number: KF2666C15S4/16G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2667 MT/s
Manufacturer: Kingston
Serial Number: 6C1C1EA7
Asset Tag: Not Specified
Part Number: KF2666C15S4/16G
Rank: 2
Configured Memory Speed: 2400 MT/s
Minimum Voltage: 1.2 V
Maximum Voltage: 1.2 V
Configured Voltage: 1.2 V</t>
  </si>
  <si>
    <t>SP004GBSFU266X02</t>
  </si>
  <si>
    <t>Rozertka</t>
  </si>
  <si>
    <t>CMW32GX4M2Z3600C18</t>
  </si>
  <si>
    <t>megaderek2011</t>
  </si>
  <si>
    <t>MSE21300-628-SYN</t>
  </si>
  <si>
    <t>Lemmy user name</t>
  </si>
  <si>
    <t>‎OWC2S6D42R816GB</t>
  </si>
  <si>
    <t>NAS did boot up, fans started working, and it had blue light incidator near the power button - but no green light indicators near the LAN/Disk. I read on reddit that it sometimes takes time because Synology performs memory test, so I left the RAM stick in the device for several hours but it didn't work. After a full week, I gave up.</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</si>
  <si>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</si>
  <si>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Megekko.nl</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</si>
  <si>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62129DA3
Asset Tag: Not Specified
Part Number: 9965657-035.A00G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992491C1
Asset Tag: Not Specified
Part Number: 9965657-035.A00G Rank: 2
Configured Memory Speed: 2400 MT/s
Minimum Voltage: 1.2 V
Maximum Voltage: 1.2 V
Configured Voltage: 1.2 V</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</si>
  <si>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06F1
Serial Number: 0E7700AA
Asset Tag: Not Specified
Part Number: M4DE-4GSSPC0M-F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00182596
Asset Tag: Not Specified
Part Number: Unknown
Rank: 2
Configured Memory Speed: 2400 MT/s
Minimum Voltage: 1.2 V
Maximum Voltage: 1.2 V
Configured Voltage: 1.2 V</t>
  </si>
  <si>
    <t>KCP432SD8/16</t>
  </si>
  <si>
    <t>astubbs</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</si>
  <si>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E1BD344F
	Asset Tag:
	Part Number: 9905744-108.A00G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</si>
  <si>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hp laptop</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</si>
  <si>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Samsung
Serial Number: 18D55756
Asset Tag:
Part Number: M471A5244CB0-CWE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</si>
  <si>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DR4 2666MHz (DDR4-2666) PC4-21300 (PC4-2666V) Non-ECC Unbuffered 1.2V CL19 2Rx8 Dual Rank 260 Pin SODIMM</t>
  </si>
  <si>
    <t>Born-Interaction5650</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</si>
  <si>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Samsung
Serial Number: FD11025E
Asset Tag:
Part Number: M471A1K43CB1-CTD
Rank: 1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</si>
  <si>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CT16G4SFRA266.C8FB</t>
  </si>
  <si>
    <t>M471A1K43DB1-CTD</t>
  </si>
  <si>
    <t>Secondhand store. Repurposed from old computers.</t>
  </si>
  <si>
    <t>Secondhand store. Repurposed from old computer.</t>
  </si>
  <si>
    <t>GOODRAM</t>
  </si>
  <si>
    <t>GR1600S3V64L11/8G</t>
  </si>
  <si>
    <t>DDR3L 1600MHz CL11 SODIMM DR (1,35 V)</t>
  </si>
  <si>
    <t>x-kom.pl</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</si>
  <si>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0793
Serial Number: 16957713
Asset Tag: 9876543210
Part Number: GR1600S3V64L11/8G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0793
Serial Number: 16957746
Asset Tag: 9876543210
Part Number: GR1600S3V64L11/8G Rank: Unknown
Configured Memory Speed: 1600 MT/s
Minimum Voltage: Unknown
Maximum Voltage: Unknown
Configured Voltage: Unknown</t>
  </si>
  <si>
    <t>Stock ram is 2x8gb from my lenovo legion 5 pro (2022)</t>
  </si>
  <si>
    <t>Jay_Bryan</t>
  </si>
  <si>
    <t>Stock Ram from Gaming laptop</t>
  </si>
  <si>
    <t>7.2.2-72806</t>
  </si>
  <si>
    <t>32GB kit but only used one of the 16gb sticks. Fired up no problem</t>
  </si>
  <si>
    <t>u/yung-wirrum</t>
  </si>
  <si>
    <t>blue light keeps blinking, system doesn't boot</t>
  </si>
  <si>
    <t>DS822+</t>
  </si>
  <si>
    <t>sicarr1976</t>
  </si>
  <si>
    <t>Mr Memory</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</si>
  <si>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6312A755
Asset Tag: Not Specified
Part Number: 9965657-035.A00G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6212A74C
Asset Tag: Not Specified
Part Number: 9965657-035.A00G Rank: 2
Configured Memory Speed: 2400 MT/s
Minimum Voltage: 1.2 V
Maximum Voltage: 1.2 V
Configured Voltage: 1.2 V</t>
  </si>
  <si>
    <t>first attempt was not successful, module was not 100% in the slot, it really has to click when inserted at 45 degrees</t>
  </si>
  <si>
    <t>e-tec</t>
  </si>
  <si>
    <t>dustin.se</t>
  </si>
  <si>
    <t>jeffashy</t>
  </si>
  <si>
    <t>SK hynix</t>
  </si>
  <si>
    <t>asa0reet</t>
  </si>
  <si>
    <t>Facebook marketplace</t>
  </si>
  <si>
    <t>M471B1G73EB0</t>
  </si>
  <si>
    <t>7.2.1-69067 Update 5</t>
  </si>
  <si>
    <t>System didn't reboot, blue light flashing</t>
  </si>
  <si>
    <t>Plug and play, booted after only a couple minutes and no errors shown in system</t>
  </si>
  <si>
    <t>/u/drome265</t>
  </si>
  <si>
    <t>Farm Computer</t>
  </si>
  <si>
    <t>u/nness</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</si>
  <si>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8192 MB
	Form Factor: SODIMM
	Set: None
	Locator: DIMM 0
	Bank Locator: P0 CHANNEL A
	Type: DDR4
	Type Detail: Synchronous Unbuffered (Unregistered)
	Speed: 2400 MT/s
	Manufacturer: 059B
	Serial Number: E8347212
	Asset Tag: Not Specified
	Part Number: CT8G4SFS824A.C8FT
	Rank: 1
	Configured Memory Speed: 2400 MT/s
	Minimum Voltage: 1.2 V
	Maximum Voltage: 1.2 V
	Configured Voltage: 1.2 V
Handle 0x0020, DMI type 17, 40 bytes
Memory Device
	Array Handle: 0x001E
	Error Information Handle: 0x0023
	Total Width: 64 bits
	Data Width: 64 bits
	Size: 8192 MB
	Form Factor: SODIMM
	Set: None
	Locator: DIMM 0
	Bank Locator: P0 CHANNEL B
	Type: DDR4
	Type Detail: Synchronous Unbuffered (Unregistered)
	Speed: 2400 MT/s
	Manufacturer: 059B
	Serial Number: E8343DCB
	Asset Tag: Not Specified
	Part Number: CT8G4SFS824A.C8FT
	Rank: 1
	Configured Memory Speed: 2400 MT/s
	Minimum Voltage: 1.2 V
	Maximum Voltage: 1.2 V
	Configured Voltage: 1.2 V</t>
  </si>
  <si>
    <t>NAS was stuck on blinking blue light</t>
  </si>
  <si>
    <t>dmidecode lists part number as CT16G4SFD824A.M16FE</t>
  </si>
  <si>
    <t>u/cell21633</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</si>
  <si>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E85BC63A
Asset Tag:
Part Number: CT16G4SFD824A.M16FE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</si>
  <si>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CT16G4SFD824A.M16FE</t>
  </si>
  <si>
    <t>u/Fearless-Raccoon-441</t>
  </si>
  <si>
    <t>MicroCenter</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</si>
  <si>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E85BC64A
Asset Tag:
Part Number: CT16G4SFD824A.M16FE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</si>
  <si>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CT16G4S24AM.M16FE</t>
  </si>
  <si>
    <t>NL</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</si>
  <si>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E814655E
Asset Tag:
Part Number: CT16G4S24AM.M16FE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</si>
  <si>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Works flawlessy. Highly recommend.</t>
  </si>
  <si>
    <t>KLEVV</t>
  </si>
  <si>
    <t>SO15-KD4AGSA80-32N220A</t>
  </si>
  <si>
    <t>Cheap, 185 sek! Big enough?!</t>
  </si>
  <si>
    <t>nonreddituser/Niklas</t>
  </si>
  <si>
    <t>proshop.se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</si>
  <si>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859B
Serial Number: E68BD8B4
Asset Tag:
Part Number: CT4G4SFS8266.C8FF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</si>
  <si>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PSD416G26662S</t>
  </si>
  <si>
    <t>Blue flashing light on boot</t>
  </si>
  <si>
    <t>Old Dell laptop</t>
  </si>
  <si>
    <t>DDR4 2666MHZ PC4-21300 2Rx8 1.2V 260-PIN ECC Unbuffered SODIMM</t>
  </si>
  <si>
    <t>‎76TT26NUS2R8-16G</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</si>
  <si>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00000000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</si>
  <si>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CT16G42FD8266</t>
  </si>
  <si>
    <t>MICRON</t>
  </si>
  <si>
    <t>Removed pre-installed 4 Gb, replaced with 2 x 16 = 32 Gb. No errors, works great.</t>
  </si>
  <si>
    <t>KSM26SED8/8HD</t>
  </si>
  <si>
    <t>DS418play</t>
  </si>
  <si>
    <t>u/AngryPotato25</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</si>
  <si>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859B
Serial Number: XXXXXX
Asset Tag: Part Number: CT4G4SFS8266.C8FF Rank: 1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</si>
  <si>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u/Cabbage0000</t>
  </si>
  <si>
    <t>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E117BD0D
Asset Tag: Part Number: 9905663-021.A00G Rank: 2
Configured Memory Speed: 2400 MT/s
Minimum Voltage: 1.2 V
Maximum Voltage: 1.2 V
Configured Voltage: 1.2 V</t>
  </si>
  <si>
    <t>CT16G4SFRA32A.8FF1</t>
  </si>
  <si>
    <t>There are diferent versions of this RAM module. Main part number is CT16G4SFRA32A and the remaining part is the actual sign this will work or not. 8FF1 is a single rank module with 8 memory chips on it and it won't work. However, the one ending with M16FR is dual rank and has 16 memory chips and works without any issues. So keep away from 8FF1.</t>
  </si>
  <si>
    <t>Türkiye</t>
  </si>
  <si>
    <t>SP008GBSFU266X02</t>
  </si>
  <si>
    <t>u/funkyblue</t>
  </si>
  <si>
    <t>Umart</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</si>
  <si>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32 GB
Form Factor: SODIMM
Set: None
Locator: DIMM 0
Bank Locator: P0 CHANNEL A
Type: DDR4
Type Detail: Synchronous Unbuffered (Unregistered)
Speed: 3200 MT/s
Manufacturer: Kingston
Serial Number: 38429301
Asset Tag: Not Specified
Part Number: 9965657-052.A00G Rank: 2
Configured Memory Speed: 2400 MT/s
Minimum Voltage: 1.2 V
Maximum Voltage: 1.2 V
Configured Voltage: 1.2 V
Handle 0x0020, DMI type 17, 40 bytes
Memory Device
Array Handle: 0x001E
Error Information Handle: 0x0023
Total Width: 72 bits
Data Width: 64 bits
Size: 4096 MB
Form Factor: SODIMM
Set: None
Locator: DIMM 0
Bank Locator: P0 CHANNEL B
Type: DDR4
Type Detail: Synchronous Unbuffered (Unregistered)
Speed: 3200 MT/s
Manufacturer: 017A
Serial Number: 08208970
Asset Tag: Not Specified
Part Number: D43.27180S.001 Rank: 1
Configured Memory Speed: 2400 MT/s
Minimum Voltage: 1.2 V
Maximum Voltage: 1.2 V
Configured Voltage: 1.2 V</t>
  </si>
  <si>
    <t>RS2421+</t>
  </si>
  <si>
    <t>EB70-C1669</t>
  </si>
  <si>
    <t>Ebay.com</t>
  </si>
  <si>
    <t>6.2.4-25556 Update 7</t>
  </si>
  <si>
    <t>V7</t>
  </si>
  <si>
    <t>V7K1490016GBS-LV</t>
  </si>
  <si>
    <t>u/Unlucky_Pace_1042</t>
  </si>
  <si>
    <t>www.megekko.nl</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</si>
  <si>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1866 MT/s
Manufacturer: SK Hynix
Serial Number: 97210200
Asset Tag: 9876543210
Part Number: HMT41GS6BFR8C-RD
Rank: Unknown
Configured Memory Speed: 1866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1866 MT/s
Manufacturer: SK Hynix
Serial Number: 97210200
Asset Tag: 9876543210
Part Number: HMT41GS6BFR8C-RD
Rank: Unknown
Configured Memory Speed: 1866 MT/s
Minimum Voltage: Unknown
Maximum Voltage: Unknown
Configured Voltage: Unknown</t>
  </si>
  <si>
    <t>‎CMSX16GX4M1A3200C22</t>
  </si>
  <si>
    <t>no boot no sounds just blue light is blinking ans nothing</t>
  </si>
  <si>
    <t>System would not boot</t>
  </si>
  <si>
    <t>u/MikiloIX</t>
  </si>
  <si>
    <t>Kimtigo</t>
  </si>
  <si>
    <t>KMKS8GF58-2666V</t>
  </si>
  <si>
    <t>No issues</t>
  </si>
  <si>
    <t>r/MikiloIX</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</si>
  <si>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8968
Serial Number: 9579013D
Asset Tag: Part Number: Kimtigo-8G-2666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</si>
  <si>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KVR1866LS11/8</t>
  </si>
  <si>
    <t>7.2.2-72086</t>
  </si>
  <si>
    <t>M474A1G43EB1-CRCQ</t>
  </si>
  <si>
    <t>2x 8GB 2RX8 PC4-2400T-TG1-11. The RAM dies are SEC 710 K4A4GD85WEBCRC</t>
  </si>
  <si>
    <t>/u/wefwefqwerwe</t>
  </si>
  <si>
    <t># dmidecode 3.2
Getting SMBIOS data from sysfs.
SMBIOS 2.8 present.
Handle 0x0014, DMI type 16, 23 bytes
Physical Memory Array
Location: System Board Or Motherboard
Use: System Memory
Error Correction Type: Single-bit ECC
Maximum Capacity: 32 GB
Error Information Handle: No Error
Number Of Devices: 2
Handle 0x0015, DMI type 17, 40 bytes
Memory Device
Array Handle: 0x0014
Error Information Handle: No Error
Total Width: 72 bits
Data Width: 64 bits
Size: 8192 MB
Form Factor: SODIMM
Set: None
Locator: DIMM0
Bank Locator: BANK 1
Type: DDR4
Type Detail: Synchronous
Speed: 2400 MT/s
Manufacturer: Samsung
Serial Number: 88EF3678
Asset Tag: 01
Part Number: M474A1G43EB1-CRC
Rank: 2
Configured Memory Speed: 2133 MT/s
Minimum Voltage: 1.2 V
Maximum Voltage: 1.2 V
Configured Voltage: 1.2 V
Handle 0x0016, DMI type 17, 40 bytes
Memory Device
Array Handle: 0x0014
Error Information Handle: No Error
Total Width: 72 bits
Data Width: 64 bits
Size: 8192 MB
Form Factor: SODIMM
Set: None
Locator: DIMM1
Bank Locator: BANK 0
Type: DDR4
Type Detail: Synchronous
Speed: 2400 MT/s
Manufacturer: Samsung
Serial Number: 88DBA2AC
Asset Tag: 02
Part Number: M474A1G43EB1-CRC
Rank: 2
Configured Memory Speed: 2133 MT/s
Minimum Voltage: 1.2 V
Maximum Voltage: 1.2 V
Configured Voltage: 1.2 V</t>
  </si>
  <si>
    <t>DS2419+</t>
  </si>
  <si>
    <t>Virtium</t>
  </si>
  <si>
    <t>VL41A4G66A-N6SB-S1</t>
  </si>
  <si>
    <t>Thank you for this Spread Sheet :)</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</si>
  <si>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2667 MT/s
Manufacturer: Kingston
Serial Number: 84316566
Asset Tag: Not Specified
Part Number: KF2666C15S4/16G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2667 MT/s
Manufacturer: Kingston
Serial Number: 473162E9
Asset Tag: Not Specified
Part Number: KF2666C15S4/16G
Rank: 2
Configured Memory Speed: 2400 MT/s
Minimum Voltage: 1.2 V
Maximum Voltage: 1.2 V
Configured Voltage: 1.2 V</t>
  </si>
  <si>
    <t>Works perfectly, no issues.</t>
  </si>
  <si>
    <t>Infinite blue led blinking on startup</t>
  </si>
  <si>
    <t>NAS doesn't even boot.</t>
  </si>
  <si>
    <t>thekontra</t>
  </si>
  <si>
    <t>It Works! Seat firmly push in snug before both sides are locked in.</t>
  </si>
  <si>
    <t>PBtech</t>
  </si>
  <si>
    <t>www.informatique.nl</t>
  </si>
  <si>
    <t>42962 Update 6</t>
  </si>
  <si>
    <t>102464BF160B.M16FP</t>
  </si>
  <si>
    <t>Wont Start</t>
  </si>
  <si>
    <t>blinking blue light</t>
  </si>
  <si>
    <t>u/MonstrousKitten</t>
  </si>
  <si>
    <t>Galaxus</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</si>
  <si>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859B
Serial Number: 2513B088
Asset Tag:
Part Number: CT8G4SFS8266.M8FD
Rank: 1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</si>
  <si>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DS920</t>
  </si>
  <si>
    <t>7.2.2-72806 Update 1</t>
  </si>
  <si>
    <t>on Sticker: EPMS1692425, 9905744-109.A00G</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</si>
  <si>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6D8A26B9
Asset Tag: Part Number: 9905744-109.A00G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</si>
  <si>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7.2.2</t>
  </si>
  <si>
    <t>baskos</t>
  </si>
  <si>
    <t>avito</t>
  </si>
  <si>
    <t>MTA4ATF1GH64HZ-3G2E2</t>
  </si>
  <si>
    <t>blue blinky light, doesn't boot</t>
  </si>
  <si>
    <t>u/revvexd</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</si>
  <si>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859B
Serial Number: E8255DF1
Asset Tag:
Part Number: CT4G4SFS8266.M8FF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</si>
  <si>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Kingston
Serial Number: 574435A6
Asset Tag:
Part Number: 99U5700-039.A00G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</si>
  <si>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DS716+</t>
  </si>
  <si>
    <t>KVR16LS11/8</t>
  </si>
  <si>
    <t>System won't start, blinking blue light. (Kingston re-branded chips)</t>
  </si>
  <si>
    <t>u/HieeeRin</t>
  </si>
  <si>
    <t>Taiwan</t>
  </si>
  <si>
    <t>Shopee</t>
  </si>
  <si>
    <t>hma82gs6mfr8n-tf</t>
  </si>
  <si>
    <t>From a lenovo laptop</t>
  </si>
  <si>
    <t>reddit.com/user/1ron_giant/</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</si>
  <si>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859B
Serial Number: E540B307
Asset Tag:
Part Number: CT8G4SFS8266.M8FRS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</si>
  <si>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No issues, booted up after 2-3 mins of blue light blinking.</t>
  </si>
  <si>
    <t>/u/FancyJesse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</si>
  <si>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E9FD7744
Asset Tag:
Part Number: CT16G4SFRA32A.C16FT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</si>
  <si>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u/Fant2</t>
  </si>
  <si>
    <t>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32 GB
Form Factor: SODIMM
Set: None
Locator: DIMM 0
Bank Locator: P0 CHANNEL A
Type: DDR4
Type Detail: Synchronous Unbuffered (Unregistered)
Speed: 2133 MT/s
Manufacturer: 05BA
Serial Number: 61831379
Asset Tag: Not Specified
Part Number: VL41A4G66A-N6SB-S1
Rank: 2
Configured Memory Speed: 2133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2133 MT/s
Manufacturer: 05BA
Serial Number: 61831261
Asset Tag: Not Specified
Part Number: VL41A4G66A-N6SB-S1
Rank: 2
Configured Memory Speed: 2133 MT/s
Minimum Voltage: 1.2 V
Maximum Voltage: 1.2 V
Configured Voltage: 1.2 V</t>
  </si>
  <si>
    <t>Took from old 2019 Lenovo T580</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</si>
  <si>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SK Hynix
Serial Number: 2D920479
Asset Tag:
Part Number: HMA82GS6AFR8N-UH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</si>
  <si>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MSE25600-628K02-G</t>
  </si>
  <si>
    <t>Boots up, DSM loads normally, but frequent improper shutdowns. Memtest fails with err=1.</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</si>
  <si>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0000
Serial Number: 0014160F
Asset Tag: Not Specified
Part Number: Unknown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0000
Serial Number: 00141600
Asset Tag: Not Specified
Part Number: Unknown
Rank: 1
Configured Memory Speed: 2400 MT/s
Minimum Voltage: 1.2 V
Maximum Voltage: 1.2 V
Configured Voltage: 1.2 V</t>
  </si>
  <si>
    <t>DS216+II</t>
  </si>
  <si>
    <t>7.2.2-72806 Update 2</t>
  </si>
  <si>
    <t>RAM Replacement, requires unit disassembly</t>
  </si>
  <si>
    <t>u/WheelRich</t>
  </si>
  <si>
    <t># dmidecode 3.2
# SMBIOS entry point at 0x7a850000
Found SMBIOS entry point in EFI, reading table from /dev/mem.
SMBIOS 2.8 present.
Handle 0x0023, DMI type 16, 23 bytes
Physical Memory Array
Location: System Board Or Motherboard
Use: System Memory
Error Correction Type: None
Maximum Capacity: 8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1315
Serial Number: 22071372
Asset Tag: 9876543210
Part Number: CT102464BF160B.M16
Rank: Unknown
Configured Memory Speed: 1600 MT/s
Minimum Voltage: 1.35 V
Maximum Voltage: 1.5 V
Configured Voltage: Unknown</t>
  </si>
  <si>
    <t>System won't start, blue light blinked and nothing.</t>
  </si>
  <si>
    <t>J722GU42J9266N5</t>
  </si>
  <si>
    <t>A-Tech 32GB (2x16GB) DDR4 2666MHz PC4-21300 (PC4-2666V) CL19 ECC SODIMM 2Rx8 1.2V 260-Pin RAM Memory for Microserver, Workstation, and Networking Platforms</t>
  </si>
  <si>
    <t>u/cyberkine</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</si>
  <si>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05F7
Serial Number: 00001772
Asset Tag: Not Specified
Part Number: J722GU42J9266N5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05F7
Serial Number: 00001772
Asset Tag: Not Specified
Part Number: J722GU42J9266N5
Rank: 2
Configured Memory Speed: 2400 MT/s
Minimum Voltage: 1.2 V
Maximum Voltage: 1.2 V
Configured Voltage: 1.2 V</t>
  </si>
  <si>
    <t>76TT32NUS2R8-16G</t>
  </si>
  <si>
    <t>2666 MT/s works, while 3200 MT/s modules from the same manufacturer did not.</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</si>
  <si>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Hynix
Serial Number: 32070500
Asset Tag: Not Specified
Part Number: KD426662RX8ES/16GB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Hynix
Serial Number: 32070500
Asset Tag: Not Specified
Part Number: KD426662RX8ES/16GB
Rank: 2
Configured Memory Speed: 2400 MT/s
Minimum Voltage: 1.2 V
Maximum Voltage: 1.2 V
Configured Voltage: 1.2 V</t>
  </si>
  <si>
    <t>lemmy.world/u/ytorf</t>
  </si>
  <si>
    <t>LEXAR</t>
  </si>
  <si>
    <t>S/N:66484E4B</t>
  </si>
  <si>
    <t>welds5</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</si>
  <si>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8A76
Serial Number: A0730001
Asset Tag:
Part Number: LD4S16G32C22ST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</si>
  <si>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No boot, blue flashing light. 8FF1 in product code means it's single rank, so won't work.</t>
  </si>
  <si>
    <t>CT16G4SFRA32A.C8FF</t>
  </si>
  <si>
    <t>PL141002ED#NP49</t>
  </si>
  <si>
    <t>Amazon.es</t>
  </si>
  <si>
    <t>CT16G4SFD824A.C16FP</t>
  </si>
  <si>
    <t>7.2.2-72806 update 2</t>
  </si>
  <si>
    <t>Synology</t>
  </si>
  <si>
    <t>D4ES01-2G, 04-43002G011</t>
  </si>
  <si>
    <t>Doesn’t boot, ECC memory not supported?</t>
  </si>
  <si>
    <t>jbladel</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</si>
  <si>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415553C2
Asset Tag:
Part Number: M471A2K43CB1-CTD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</si>
  <si>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RS3621XS+</t>
  </si>
  <si>
    <t>KSM26ED8/16MR</t>
  </si>
  <si>
    <t>kingstonmemoryshop.co.uk</t>
  </si>
  <si>
    <t># dmidecode 3.2
Getting SMBIOS data from sysfs.
SMBIOS 2.8 present.
Handle 0x0020, DMI type 16, 23 bytes
Physical Memory Array
	Location: System Board Or Motherboard
	Use: System Memory
	Error Correction Type: Multi-bit ECC
	Maximum Capacity: 128 GB
	Error Information Handle: No Error
	Number Of Devices: 4
Handle 0x0021, DMI type 17, 40 bytes
Memory Device
	Array Handle: 0x0020
	Error Information Handle: No Error
	Total Width: 72 bits
	Data Width: 64 bits
	Size: 8192 MB
	Form Factor: DIMM
	Set: None
	Locator: DIMM_1/1
	Bank Locator: NODE 1
	Type: DDR4
	Type Detail: Synchronous Unbuffered (Unregistered)
	Speed: 2667 MT/s
	Manufacturer: 86F1
	Serial Number: 0x1C710074
	Asset Tag: Unknown
	Part Number: M4CI-8GSSMC0K-F
	Rank: 2
	Configured Memory Speed: 2133 MT/s
	Minimum Voltage: 1.2 V
	Maximum Voltage: 1.2 V
	Configured Voltage: 1.2 V
Handle 0x0022, DMI type 17, 40 bytes
Memory Device
	Array Handle: 0x0026
	Error Information Handle: No Error
	Total Width: Unknown
	Data Width: Unknown
	Size: No Module Installed
	Form Factor: DIMM
	Set: None
	Locator: DIMM_1/2
	Bank Locator: NODE 1
	Type: Unknown
	Type Detail: Synchronous Unbuffered (Unregistered)
	Speed: Unknown
	Manufacturer: NO DIMM
	Serial Number: Unknown
	Asset Tag: Unknown
	Part Number: Unknown
	Rank: Unknown
	Configured Memory Speed: Unknown
	Minimum Voltage: Unknown
	Maximum Voltage: Unknown
	Configured Voltage: Unknown
Handle 0x0023, DMI type 17, 40 bytes
Memory Device
	Array Handle: 0x0026
	Error Information Handle: No Error
	Total Width: 72 bits
	Data Width: 64 bits
	Size: 16384 MB
	Form Factor: DIMM
	Set: None
	Locator: DIMM_2/1
	Bank Locator: NODE 1
	Type: DDR4
	Type Detail: Synchronous Unbuffered (Unregistered)
	Speed: 2667 MT/s
	Manufacturer: NO DIMM0198
	Serial Number: 0x82133E2F
	Asset Tag: Unknown
	Part Number: 9965745-044.A00G
	Rank: 2
	Configured Memory Speed: 2133 MT/s
	Minimum Voltage: 1.2 V
	Maximum Voltage: 1.2 V
	Configured Voltage: 1.2 V
Handle 0x0024, DMI type 17, 40 bytes
Memory Device
	Array Handle: 0x0027
	Error Information Handle: No Error
	Total Width: Unknown
	Data Width: Unknown
	Size: No Module Installed
	Form Factor: DIMM
	Set: None
	Locator: DIMM_2/2
	Bank Locator: NODE 1
	Type: Unknown
	Type Detail: Synchronous Unbuffered (Unregistered)
	Speed: Unknown
	Manufacturer: NO DIMM
	Serial Number: Unknown
	Asset Tag: Unknown
	Part Number: Unknown
	Rank: Unknown
	Configured Memory Speed: Unknown
	Minimum Voltage: Unknown
	Maximum Voltage: Unknown
	Configured Voltage: Unknown</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</si>
  <si>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0000006D
Asset Tag:
Part Number: M471A2K43CB1-CRC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</si>
  <si>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Kingston 16 GB 2666 MHz CL19 + Synology D4ES02-4G (factory)</t>
  </si>
  <si>
    <t>morele.net</t>
  </si>
  <si>
    <t>no</t>
  </si>
  <si>
    <t>cakc70</t>
  </si>
  <si>
    <t>The module is recognized, need to do hard restart for the NAS to boot. Gives CHECKSUM MISMATCH error.</t>
  </si>
  <si>
    <t>Indonesia</t>
  </si>
  <si>
    <t>tokopedia.com</t>
  </si>
  <si>
    <t>works without any issues</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</si>
  <si>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059B
Serial Number: DA2EDC73
Asset Tag:
Part Number: CT16G4SFD8266.M16FE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</si>
  <si>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KCP426SS6/8</t>
  </si>
  <si>
    <t>u/Severe_Quantity_5497</t>
  </si>
  <si>
    <t>Single Rank (1R)</t>
  </si>
  <si>
    <t>@xfpozrp25_burek</t>
  </si>
  <si>
    <t>DDR3</t>
  </si>
  <si>
    <t>Don't know</t>
  </si>
  <si>
    <t>Had to really push to make sure it was slotted in</t>
  </si>
  <si>
    <t>u/camrn01</t>
  </si>
  <si>
    <t>u/haikkonen</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</si>
  <si>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00000000
Asset Tag:
Part Number: TIMETEC-S16G-2400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</si>
  <si>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Dual Rank (2R)</t>
  </si>
  <si>
    <t>blue light keeps flashing and does not boot</t>
  </si>
  <si>
    <t>u/Ok-Weekend6784</t>
  </si>
  <si>
    <t>MT16KTF1G64HZ-1G6E1</t>
  </si>
  <si>
    <t>CT102464BF160B.M16FN</t>
  </si>
  <si>
    <t>DS418Play</t>
  </si>
  <si>
    <t>78AP18NUSL2R8-8G</t>
  </si>
  <si>
    <t>Flixster007</t>
  </si>
  <si>
    <t>No user</t>
  </si>
  <si>
    <t>u/</t>
  </si>
  <si>
    <t># dmidecode 3.2
Getting SMBIOS data from sysfs.
SMBIOS 2.8 present.
Handle 0x0020, DMI type 16, 23 bytes
Physical Memory Array
Location: System Board Or Motherboard
Use: System Memory
Error Correction Type: Multi-bit ECC
Maximum Capacity: 128 GB
Error Information Handle: No Error
Number Of Devices: 4
Handle 0x0021, DMI type 17, 40 bytes
Memory Device
Array Handle: 0x0020
Error Information Handle: No Error
Total Width: 72 bits
Data Width: 64 bits
Size: 16384 MB
Form Factor: DIMM
Set: None
Locator: DIMM_1/1
Bank Locator: NODE 1
Type: DDR4
Type Detail: Synchronous Unbuffered (Unregistered)
Speed: 2667 MT/s
Manufacturer: 0198
Serial Number: 0x7C134212
Asset Tag: Unknown
Part Number: 9965745-044.A00G
Rank: 2
Configured Memory Speed: 2133 MT/s
Minimum Voltage: 1.2 V
Maximum Voltage: 1.2 V
Configured Voltage: 1.2 V
Handle 0x0022, DMI type 17, 40 bytes
Memory Device
Array Handle: 0x0026
Error Information Handle: No Error
Total Width: 72 bits
Data Width: 64 bits
Size: 16384 MB
Form Factor: DIMM
Set: None
Locator: DIMM_1/2
Bank Locator: NODE 1
Type: DDR4
Type Detail: Synchronous Unbuffered (Unregistered)
Speed: 2667 MT/s
Manufacturer: 9965745-044.A00G 0198
Serial Number: 0xBD334205
Asset Tag: Unknown
Part Number: 9965745-044.A00G
Rank: 2
Configured Memory Speed: 2133 MT/s
Minimum Voltage: 1.2 V
Maximum Voltage: 1.2 V
Configured Voltage: 1.2 V
Handle 0x0023, DMI type 17, 40 bytes
Memory Device
Array Handle: 0x0027
Error Information Handle: No Error
Total Width: 72 bits
Data Width: 64 bits
Size: 16384 MB
Form Factor: DIMM
Set: None
Locator: DIMM_2/1
Bank Locator: NODE 1
Type: DDR4
Type Detail: Synchronous Unbuffered (Unregistered)
Speed: 2667 MT/s
Manufacturer: 9965745-044.A00G 0198
Serial Number: 0x82133E2F
Asset Tag: Unknown
Part Number: 9965745-044.A00G
Rank: 2
Configured Memory Speed: 2133 MT/s
Minimum Voltage: 1.2 V
Maximum Voltage: 1.2 V
Configured Voltage: 1.2 V
Handle 0x0024, DMI type 17, 40 bytes
Memory Device
Array Handle: 0x0028
Error Information Handle: No Error
Total Width: 72 bits
Data Width: 64 bits
Size: 16384 MB
Form Factor: DIMM
Set: None
Locator: DIMM_2/2
Bank Locator: NODE 1
Type: DDR4
Type Detail: Synchronous Unbuffered (Unregistered)
Speed: 2667 MT/s
Manufacturer: 9965745-044.A00G 0198
Serial Number: 0xA8234202
Asset Tag: Unknown
Part Number: 9965745-044.A00G
Rank: 2
Configured Memory Speed: 2133 MT/s
Minimum Voltage: 1.2 V
Maximum Voltage: 1.2 V
Configured Voltage: 1.2 V</t>
  </si>
  <si>
    <t>u/lordrelense</t>
  </si>
  <si>
    <t>I got one abnormal/improper shutdown, but passed 2 MEMTEST. So not sure it's the ram's fault.</t>
  </si>
  <si>
    <t>u/WorstAverageJoe</t>
  </si>
  <si>
    <t>Memory Device
Array Handle: 0x001E
Error Information Handle: 0x0023
Total Width: 72 bits
Data Width: 64 bits
Size: 16384 MB
Form Factor: SODIMM
Set: None
Locator: DIMM 0
Bank Locator: P0 CHANNEL B
Type: DDR4
Type Detail: Synchronous Unbuffered (Unregistered)
Speed: 2667 MT/s
Manufacturer: Hynix
Serial Number: ***********
Asset Tag: Not Specified
Part Number: HMA82GS7DJR8N-VK
Rank: 2
Configured Memory Speed: 2400 MT/s
Minimum Voltage: 1.2 V
Maximum Voltage: 1.2 V
Configured Voltage: 1.2 V</t>
  </si>
  <si>
    <t>GR2666d464L19/16G</t>
  </si>
  <si>
    <t>u/muhimu1</t>
  </si>
  <si>
    <t>amazon.pl</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</si>
  <si>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580B0746
Asset Tag:
Part Number: M471A2K43CB1-CTD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</si>
  <si>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X</t>
  </si>
  <si>
    <t>CL19-19-19-43</t>
  </si>
  <si>
    <t>@Sea-Material7609</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</si>
  <si>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00000000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</si>
  <si>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Micron Technology</t>
  </si>
  <si>
    <t>16ATF2G64HZ-3G2J1</t>
  </si>
  <si>
    <t>u/PracticalBumblebee32</t>
  </si>
  <si>
    <t>local store in Ljubljana</t>
  </si>
  <si>
    <t>ash-4.4# sudo dmidecode -t memory
#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3200 MT/s
Manufacturer: Micron Technology
Serial Number: 24FC408C
Asset Tag: Not Specified
Part Number: 16ATF2G64HZ-3G2J1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Micron Technology
Serial Number: 24FC40A3
Asset Tag: Not Specified
Part Number: 16ATF2G64HZ-3G2J1 Rank: 2
Configured Memory Speed: 2400 MT/s
Minimum Voltage: 1.2 V
Maximum Voltage: 1.2 V
Configured Voltage: 1.2 V</t>
  </si>
  <si>
    <t>@miakx.bsky.social</t>
  </si>
  <si>
    <t>@MadDrMaddox</t>
  </si>
  <si>
    <t>AliExpress</t>
  </si>
  <si>
    <t>Cheap and works as expected so far</t>
  </si>
  <si>
    <t>u/cn-ml</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</si>
  <si>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8A76
Serial Number: redacted
Asset Tag:
Part Number: LD4S16G32C22ST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</si>
  <si>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v-color</t>
  </si>
  <si>
    <t>Failed in 1819+ though reports previously of it being compatible</t>
  </si>
  <si>
    <t>u/brennok</t>
  </si>
  <si>
    <t>Same kit worked fine in 1821+ so not sure why it failed. Tried a second kit with same blue flashing light and failure to boot</t>
  </si>
  <si>
    <t>eques75</t>
  </si>
  <si>
    <t>doesn't boot, keeps flashing blue</t>
  </si>
  <si>
    <t>Goofy7007</t>
  </si>
  <si>
    <t>reichelt.de</t>
  </si>
  <si>
    <t>CT8G4SFS824A.M8FR</t>
  </si>
  <si>
    <t>coolblue.de</t>
  </si>
  <si>
    <t>6.2.4-25556 Update 8</t>
  </si>
  <si>
    <t>CT512648F186B.C16FPR2</t>
  </si>
  <si>
    <t>u/JudahBella</t>
  </si>
  <si>
    <t>Ds224+</t>
  </si>
  <si>
    <t>Kuzin</t>
  </si>
  <si>
    <t>DS1817+</t>
  </si>
  <si>
    <t>7.1.1-42962 Update 7</t>
  </si>
  <si>
    <t>Kingston HyperX</t>
  </si>
  <si>
    <t>HX316LS9IB/8</t>
  </si>
  <si>
    <t>u/carlosispogi</t>
  </si>
  <si>
    <t>Philippines</t>
  </si>
  <si>
    <t>Upgrade significantly improved performance of late-ish game Satisfactory server. Was using stock Synology 4GB previously.</t>
  </si>
  <si>
    <t>u/Snerfderkler</t>
  </si>
  <si>
    <t>F3-1600C11D-16GRSL</t>
  </si>
  <si>
    <t>u/Marusko1</t>
  </si>
  <si>
    <t>Kingstone</t>
  </si>
  <si>
    <t>u/Sejuh</t>
  </si>
  <si>
    <t>Purchased as Dell SNPHYXPXC/8G, but actual module is Samsung M471A1K43CB1-CTD</t>
  </si>
  <si>
    <t>u/mr_freeman</t>
  </si>
  <si>
    <t>-</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</si>
  <si>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Kingston
	Serial Number: 
	Asset Tag: 9876543210
	Part Number: 99U5428-018.A00LF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Kingston
	Serial Number: 
	Asset Tag: 9876543210
	Part Number: 99U5428-018.A00LF
	Rank: Unknown
	Configured Memory Speed: 1600 MT/s
	Minimum Voltage: Unknown
	Maximum Voltage: Unknown
	Configured Voltage: Unknown</t>
  </si>
  <si>
    <t>Appears to be most effective ram</t>
  </si>
  <si>
    <t>B</t>
  </si>
  <si>
    <t>DS244+</t>
  </si>
  <si>
    <t>Label: M471A1K43DB0-CTD ssh:M471A1G43DB0-CPB</t>
  </si>
  <si>
    <t>Working flawlessly</t>
  </si>
  <si>
    <t>g4ndr1k-DisPater</t>
  </si>
  <si>
    <t>Smart Computer Tokopedia</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</si>
  <si>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Samsung
Serial Number: D4082876
Asset Tag: Part Number: M471A1G43DB0-CPB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</si>
  <si>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u/Professional_egg101</t>
  </si>
  <si>
    <t/>
  </si>
  <si>
    <t>u/xd___xd</t>
  </si>
  <si>
    <t>Installed fine, no warning on reboot, mem test seemed to pass ok as it rebooted after a few hours</t>
  </si>
  <si>
    <t>N/A</t>
  </si>
  <si>
    <t>Kingston UK</t>
  </si>
  <si>
    <t>NO TENGO</t>
  </si>
  <si>
    <t>SPAIN</t>
  </si>
  <si>
    <t>TIENDA FISICA BEEP</t>
  </si>
  <si>
    <t>Neither 1 16gb stick nor 2 16gb sticks ran</t>
  </si>
  <si>
    <t>nintendoge</t>
  </si>
  <si>
    <t>Blue blinking light, won't boot</t>
  </si>
  <si>
    <t>u/medster87</t>
  </si>
  <si>
    <t>Amazon.sa</t>
  </si>
  <si>
    <t>KVR32S22S8/16</t>
  </si>
  <si>
    <t>Blue blinking light, doesn't boot</t>
  </si>
  <si>
    <t>Saudi</t>
  </si>
  <si>
    <t>There was a blue flashing light initially, but it went away after a few minutes and made a system beep before booting up</t>
  </si>
  <si>
    <t>@XXX</t>
  </si>
  <si>
    <t>Amazon SG</t>
  </si>
  <si>
    <t>79TT26EUS2R8-16G</t>
  </si>
  <si>
    <t>@Anonymous</t>
  </si>
  <si>
    <t>Amazon.se</t>
  </si>
  <si>
    <t>System uses all 10G without issues, most of it for cache.</t>
  </si>
  <si>
    <t>@KaushikGhose</t>
  </si>
  <si>
    <t>From an old Dell Latitude 5590 laptop</t>
  </si>
  <si>
    <t>7.2.1-69057 Update 6</t>
  </si>
  <si>
    <t>Flashing blue lights. Does not boot.</t>
  </si>
  <si>
    <t>/u/stridhiryu030363</t>
  </si>
  <si>
    <t>DS432+</t>
  </si>
  <si>
    <t>u/seubuceta</t>
  </si>
  <si>
    <t>If you are based in the UK, purchase this RAM for about £30, plug and play, no versions to worry about like some others.</t>
  </si>
  <si>
    <t>u/WeirdWallaby1914</t>
  </si>
  <si>
    <t>u/Janachara</t>
  </si>
  <si>
    <t>Previously tried Crucial 16GB CT16G4SFRA266 but it didn't work. This CT16G4SFD8266 is working well with no warnings.</t>
  </si>
  <si>
    <t>Ct16G4Sfd824A</t>
  </si>
  <si>
    <t>It stopped running once after 4 weeks of uptime (unknown how), and didnt boot with RAM. Started it without the RAM and booted up fine. Turned off and booted again with RAM and ran fine again. Problem still unknown</t>
  </si>
  <si>
    <t>u/Brieble</t>
  </si>
  <si>
    <t>7.2.2-42962 Update 3</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</si>
  <si>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40C9B2BE
Asset Tag:
Part Number: M471A2K43DB1-CWE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</si>
  <si>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Ds920+</t>
  </si>
  <si>
    <t>u/TJRDU</t>
  </si>
  <si>
    <t>M471B5273CH0-YK0</t>
  </si>
  <si>
    <t>u/mietek_81</t>
  </si>
  <si>
    <t>I tried twice. waited 20min each time.</t>
  </si>
  <si>
    <t>cnblanquera</t>
  </si>
  <si>
    <t>pcx.com.ph</t>
  </si>
  <si>
    <t>4.2.2-72806 Update 2</t>
  </si>
  <si>
    <t>‎OWC2C6D42R8064P-B765-SF</t>
  </si>
  <si>
    <t>quick, easy, no issues whatsoever</t>
  </si>
  <si>
    <t>anonymous</t>
  </si>
  <si>
    <t>booted up quickly</t>
  </si>
  <si>
    <t>/canuk87</t>
  </si>
  <si>
    <t>DS916+</t>
  </si>
  <si>
    <t>Ramcity</t>
  </si>
  <si>
    <t>Wouldn't boot (blue LED off), reseated / power cycled and booted ok</t>
  </si>
  <si>
    <t>u/bdlow</t>
  </si>
  <si>
    <t># dmidecode 3.2
# SMBIOS entry point at 0x7a850000
Found SMBIOS entry point in EFI, reading table from /dev/mem.
SMBIOS 2.8 present.
Handle 0x0023, DMI type 16, 23 bytes
Physical Memory Array
Location: System Board Or Motherboard
Use: System Memory
Error Correction Type: None
Maximum Capacity: 8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0012
Serial Number: 14360000
Asset Tag: 9876543210
Part Number: Rank: Unknown
Configured Memory Speed: 1600 MT/s
Minimum Voltage: 1.35 V
Maximum Voltage: 1.5 V
Configured Voltage: Unknown</t>
  </si>
  <si>
    <t>KMKS16GF68-2666V</t>
  </si>
  <si>
    <t>u/theyknowheremyheadis</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</si>
  <si>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8968
Serial Number: 00000000
Asset Tag:
Part Number: KMKS16GF68-2666V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</si>
  <si>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LOLO</t>
  </si>
  <si>
    <t>u/IAmTheSnorlax</t>
  </si>
  <si>
    <t>u/zdenulo</t>
  </si>
  <si>
    <t>suntech.cz</t>
  </si>
  <si>
    <t>OWC2S6D42R816GB</t>
  </si>
  <si>
    <t>No post. Just blue flashing power led.</t>
  </si>
  <si>
    <t>ebay.com OWC official store</t>
  </si>
  <si>
    <t>u/manhscifi</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</si>
  <si>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36C83BB5
Asset Tag:
Part Number: M471A2K43CB1-CTD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</si>
  <si>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Ramaxel</t>
  </si>
  <si>
    <t>RMSA3260ME78HAF-2666</t>
  </si>
  <si>
    <t>mumrikcheb</t>
  </si>
  <si>
    <t>I removed this RAM from the Thinkpad t580</t>
  </si>
  <si>
    <t>MSE25600-328K01-G</t>
  </si>
  <si>
    <t>Synology memory test ran ~8hrs no warnings</t>
  </si>
  <si>
    <t>Guest</t>
  </si>
  <si>
    <t>Blue light blinking, never boot up</t>
  </si>
  <si>
    <t>u/HistoryDistinct</t>
  </si>
  <si>
    <t>KF432S20IB/16</t>
  </si>
  <si>
    <t>blue light flashing, but not booting</t>
  </si>
  <si>
    <t>Czechia</t>
  </si>
  <si>
    <t>Booted just fine and everything is working fine so far</t>
  </si>
  <si>
    <t>CT16G48FD824A</t>
  </si>
  <si>
    <t>ramgo</t>
  </si>
  <si>
    <t>amazon.in</t>
  </si>
  <si>
    <t>7.2.2-72806 Update2</t>
  </si>
  <si>
    <t>OWC3C2D41R816GB</t>
  </si>
  <si>
    <t>u/Delicious-Garden-335</t>
  </si>
  <si>
    <t>CT16G4SFRA266.C8FF</t>
  </si>
  <si>
    <t>NoSocialeNetwork</t>
  </si>
  <si>
    <t>Digital Alliance</t>
  </si>
  <si>
    <t>DARMDRS16G32/16G</t>
  </si>
  <si>
    <t>@alfmuna</t>
  </si>
  <si>
    <t>PT Agres Medan Teknologi</t>
  </si>
  <si>
    <t>u/jetsetwilly77</t>
  </si>
  <si>
    <t>Serbia</t>
  </si>
  <si>
    <t>BC Group</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</si>
  <si>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2667 MT/s
Manufacturer: Kingston
Serial Number: F12AD959
Asset Tag: Not Specified
Part Number: 9905744-109.A00G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2667 MT/s
Manufacturer: Kingston
Serial Number: EF2AD97B
Asset Tag: Not Specified
Part Number: 9905744-109.A00G Rank: 2
Configured Memory Speed: 2400 MT/s
Minimum Voltage: 1.2 V
Maximum Voltage: 1.2 V
Configured Voltage: 1.2 V</t>
  </si>
  <si>
    <t>Quirky_Animal_2058</t>
  </si>
  <si>
    <t>kazycomputers</t>
  </si>
  <si>
    <t>1522+</t>
  </si>
  <si>
    <t>u/BoringMode91</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</si>
  <si>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Hynix
	Serial Number: 32070500
	Asset Tag: Not Specified
	Part Number: KD426662RX8ES/16GB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Hynix
	Serial Number: 32070500
	Asset Tag: Not Specified
	Part Number: KD426662RX8ES/16GB
	Rank: 2
	Configured Memory Speed: 2400 MT/s
	Minimum Voltage: 1.2 V
	Maximum Voltage: 1.2 V
	Configured Voltage: 1.2 V</t>
  </si>
  <si>
    <t>76TT26NUS2R8</t>
  </si>
  <si>
    <t>u/tvfts</t>
  </si>
  <si>
    <t>KINGSTON</t>
  </si>
  <si>
    <t>Booted immediately, no delay, no warning, no error</t>
  </si>
  <si>
    <t>u/sonovebitch/</t>
  </si>
  <si>
    <t>[...]:~$ sudo dmidecode -t memory
#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C0241189
Asset Tag:
Part Number: 9905744-091.A00G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</si>
  <si>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ATP</t>
  </si>
  <si>
    <t>P10407-001 HPE P06210-091</t>
  </si>
  <si>
    <t>Suggested by a seller, seems to work fine, full product name is ATP DDR4 16GB 2666MHz ECC SO-DIMM PC4-2666 (X4F16QG8BNTDMW-E-HE1) RAM P10407-001 HPE P06210-091</t>
  </si>
  <si>
    <t>u/disem</t>
  </si>
  <si>
    <t>hard.rozetka.com.ua</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</si>
  <si>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017A
Serial Number: 18409966
Asset Tag: Not Specified
Part Number: D43.27180S.001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06E3
Serial Number: FE260A20
Asset Tag: Not Specified
Part Number: X4F16QG8BNTDMW-E-HE1
Rank: 2
Configured Memory Speed: 2400 MT/s
Minimum Voltage: 1.2 V
Maximum Voltage: 1.2 V
Configured Voltage: 1.2 V</t>
  </si>
  <si>
    <t>u/Beneficial-Bit-9452</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</si>
  <si>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</si>
  <si>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M471A1K43EB1-CWE</t>
  </si>
  <si>
    <t>u/HeadlessAnonymous</t>
  </si>
  <si>
    <t>South Africa</t>
  </si>
  <si>
    <t>Prebuilt Laptop - EVETECH</t>
  </si>
  <si>
    <t>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Samsung
Serial Number: 32EA2283
Asset Tag:
Part Number: M471A1K43EB1-CWE
Rank: 1
Configured Memory Speed: 2400 MT/s
Minimum Voltage: 1.2 V
Maximum Voltage: 1.2 V
Configured Voltage: 1.2 V</t>
  </si>
  <si>
    <t>HMA851S6AFR6N-UH</t>
  </si>
  <si>
    <t>u/wiggerdy</t>
  </si>
  <si>
    <t>UK based</t>
  </si>
  <si>
    <t>Taken from laptop I was upgrading the memory on.</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</si>
  <si>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SK Hynix
Serial Number: 2B2B18BB
Asset Tag:
Part Number: HMA851S6AFR6N-UH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</si>
  <si>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16KTF51264HZ-1G6M1</t>
  </si>
  <si>
    <t>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0515
Serial Number: 13005421
Asset Tag: 9876543210
Part Number: 16KTF51264HZ-1G6M1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0515
Serial Number: 13005417
Asset Tag: 9876543210
Part Number: 16KTF51264HZ-1G6M1
Rank: Unknown
Configured Memory Speed: 1600 MT/s
Minimum Voltage: Unknown
Maximum Voltage: Unknown
Configured Voltage: Unknown</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</si>
  <si>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Samsung
Serial Number: 03BE635B
Asset Tag:
Part Number: M471A1K43DB1-CWE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</si>
  <si>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n/a</t>
  </si>
  <si>
    <t>Alza</t>
  </si>
  <si>
    <t>Oaziscomputer.hu</t>
  </si>
  <si>
    <t>This is not a duplication to the one 2 lines above, but a separate test with different module.</t>
  </si>
  <si>
    <t>V-Color</t>
  </si>
  <si>
    <t>u/Petezame</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</si>
  <si>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32 GB
	Form Factor: SODIMM
	Set: None
	Locator: DIMM 0
	Bank Locator: P0 CHANNEL A
	Type: DDR4
	Type Detail: Synchronous Unbuffered (Unregistered)
	Speed: 2667 MT/s
	Manufacturer: 066D
	Serial Number: 00000000
	Asset Tag: Not Specified
	Part Number: TES432G26D819K-VC
	Rank: 2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2667 MT/s
	Manufacturer: 066D
	Serial Number: 00000000
	Asset Tag: Not Specified
	Part Number: TES432G26D819K-VC
	Rank: 2
	Configured Memory Speed: 2400 MT/s
	Minimum Voltage: 1.2 V
	Maximum Voltage: 1.2 V
	Configured Voltage: 1.2 V</t>
  </si>
  <si>
    <t>Takes a while to start</t>
  </si>
  <si>
    <t>76TT26NUS2R8-16G PL241219MX#NP66</t>
  </si>
  <si>
    <t>Bought from US Amazon in Jan 2025, blinking blue light for a good 3-4 minutes before finally working.</t>
  </si>
  <si>
    <t>u/divinebaboon</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</si>
  <si>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00001791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</si>
  <si>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HMA82GS6Cjr8N-VK</t>
  </si>
  <si>
    <t>u/VSSP</t>
  </si>
  <si>
    <t>from a 2019 Apple Mac mini</t>
  </si>
  <si>
    <t>Took about 2 minutes to boot</t>
  </si>
  <si>
    <t>aukro.cz</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</si>
  <si>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256E6626
Asset Tag:
Part Number: M471A2K43CB1-CTD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</si>
  <si>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4GB 1Rx16 PC4-2666V-SC0-11</t>
  </si>
  <si>
    <t>vatera.hu</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</si>
  <si>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Samsung
Serial Number: 956C0B61
Asset Tag:
Part Number: M471A5244CB0-CTD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</si>
  <si>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u/ZuellyBox</t>
  </si>
  <si>
    <t>Amazon.com.au</t>
  </si>
  <si>
    <t>u/Pale_Radio6090</t>
  </si>
  <si>
    <t>u/vekh6</t>
  </si>
  <si>
    <t>allegro</t>
  </si>
  <si>
    <t>Passed Synology Assistant Memory Test</t>
  </si>
  <si>
    <t>robocub</t>
  </si>
  <si>
    <t>u/Code_79</t>
  </si>
  <si>
    <t>Kembona</t>
  </si>
  <si>
    <t>KBN24S17/8G</t>
  </si>
  <si>
    <t>7.2.2-7286 Update 2</t>
  </si>
  <si>
    <t>PlentyComfortable7</t>
  </si>
  <si>
    <t>u/Svan-</t>
  </si>
  <si>
    <t>7.2.2-72806 Update 3</t>
  </si>
  <si>
    <t>HMA82GS6JJR8N-VK N0 AC</t>
  </si>
  <si>
    <t>Synology Assistant memtest takes nearly 7 hours.</t>
  </si>
  <si>
    <t>LD4AS008G-B3200ASST</t>
  </si>
  <si>
    <t>u/Top-Representative13</t>
  </si>
  <si>
    <t>u/stelan1988</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</si>
  <si>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3200 MT/s
Manufacturer: 059B
Serial Number: E84BEC0F
Asset Tag: Not Specified
Part Number: CT16G4SFRA32A.M16FR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059B
Serial Number: E84BEC0C
Asset Tag: Not Specified
Part Number: CT16G4SFRA32A.M16FR
Rank: 2
Configured Memory Speed: 2400 MT/s
Minimum Voltage: 1.2 V
Maximum Voltage: 1.2 V
Configured Voltage: 1.2 V</t>
  </si>
  <si>
    <t>78AP18NUSL2R8-8G x 2</t>
  </si>
  <si>
    <t>Booted fine, but spontaneously reboots after a while.</t>
  </si>
  <si>
    <t>u/SysWiz</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</si>
  <si>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1866 MT/s
Manufacturer: 1438
Serial Number: 00003994
Asset Tag: 9876543210
Part Number: TIMETEC-A8G-1866 Rank: Unknown
Configured Memory Speed: 1866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1866 MT/s
Manufacturer: 1438
Serial Number: 00003616
Asset Tag: 9876543210
Part Number: TIMETEC-A8G-1866 Rank: Unknown
Configured Memory Speed: 1866 MT/s
Minimum Voltage: Unknown
Maximum Voltage: Unknown
Configured Voltage: Unknown</t>
  </si>
  <si>
    <t>CT4G4SFS8266.M8FF</t>
  </si>
  <si>
    <t>pcland.hu</t>
  </si>
  <si>
    <t>Running for 2+ years, no issues.</t>
  </si>
  <si>
    <t>u/telnetdoogie</t>
  </si>
  <si>
    <t>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1315
Serial Number: 22171710
Asset Tag: 9876543210
Part Number: CT102464BF160B.M16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1315
Serial Number: 22131799
Asset Tag: 9876543210
Part Number: CT102464BF160B.C16
Rank: Unknown
Configured Memory Speed: 1600 MT/s
Minimum Voltage: Unknown
Maximum Voltage: Unknown
Configured Voltage: Unknown</t>
  </si>
  <si>
    <t>CT32G4SFD832A</t>
  </si>
  <si>
    <t>x/mathishaumont</t>
  </si>
  <si>
    <t>76TT16NUSL2R8-8G</t>
  </si>
  <si>
    <t>Got the 16GB (8GBx2) kit from Amazon. Tested each module to work when installed in the available slot. Next step would be to open up the case and replace the 2GB Synology module with one of the TIMETEC modules &amp; run the memory test with 16GB RAM</t>
  </si>
  <si>
    <t>u/SuspiciousPound8888</t>
  </si>
  <si>
    <t>u/Fri1dGe</t>
  </si>
  <si>
    <t>local store</t>
  </si>
  <si>
    <t>CT8G4SFS824A.C8FDD1</t>
  </si>
  <si>
    <t>u/Baas41</t>
  </si>
  <si>
    <t>r/nismo9132</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</si>
  <si>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&lt;redacted&gt;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&lt;redacted&gt;
Asset Tag: Not Specified
Part Number: Unknown
Rank: 2
Configured Memory Speed: 2400 MT/s
Minimum Voltage: 1.2 V
Maximum Voltage: 1.2 V
Configured Voltage: 1.2 V</t>
  </si>
  <si>
    <t>7.2.2.72806 Update 3</t>
  </si>
  <si>
    <t>u/badpeoria</t>
  </si>
  <si>
    <t>MTA18ASF4G72HZ-3G2R</t>
  </si>
  <si>
    <t>u/ComprehensiveLuck125</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</si>
  <si>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32 GB
Form Factor: SODIMM
Set: None
Locator: DIMM 0
Bank Locator: P0 CHANNEL A
Type: DDR4
Type Detail: Synchronous Unbuffered (Unregistered)
Speed: 3200 MT/s
Manufacturer: Micron Technology
Serial Number: D062910D
Asset Tag: Not Specified
Part Number: 18ASF4G72HZ-3G2F1
Rank: 2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3200 MT/s
Manufacturer: Micron Technology
Serial Number: D0628E02
Asset Tag: Not Specified
Part Number: 18ASF4G72HZ-3G2F1
Rank: 2
Configured Memory Speed: 2400 MT/s
Minimum Voltage: 1.2 V
Maximum Voltage: 1.2 V
Configured Voltage: 1.2 V</t>
  </si>
  <si>
    <t>u/bemmia</t>
  </si>
  <si>
    <t>The Netherlands</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</si>
  <si>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859B
Serial Number: E9F80F99
Asset Tag:
Part Number: CT8G4SFRA32A.M8FE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</si>
  <si>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0000
Serial Number: 000003B7
Asset Tag:
Part Number: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</si>
  <si>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0000134D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</si>
  <si>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1 hour testing - no result</t>
  </si>
  <si>
    <t>u/TheChertila</t>
  </si>
  <si>
    <t>Cyprus</t>
  </si>
  <si>
    <t>singular.com.cy</t>
  </si>
  <si>
    <t>2C6D42R8064P</t>
  </si>
  <si>
    <t>Attempted 32GB modules alone in slot A and B but all configurations failed to even initialize and boot.</t>
  </si>
  <si>
    <t>u/bradk97</t>
  </si>
  <si>
    <t>CT16G4SFRA266.C8FE</t>
  </si>
  <si>
    <t>Only blinky light.</t>
  </si>
  <si>
    <t>u/philwill30</t>
  </si>
  <si>
    <t>@t510599</t>
  </si>
  <si>
    <t>PChome 24h</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</si>
  <si>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
Asset Tag:
Part Number: 9905744-035.A00G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</si>
  <si>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u/j_heezy</t>
  </si>
  <si>
    <t>Full code is 76TT26NUS2R8-16G PL241219MX#NP66. Up for about one week, memory test completed without problems. Everything is much faster!</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</si>
  <si>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00001587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</si>
  <si>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7.2.1 Update 7</t>
  </si>
  <si>
    <t>IgiKarchi</t>
  </si>
  <si>
    <t>Alliexpress</t>
  </si>
  <si>
    <t>Doesn't boot</t>
  </si>
  <si>
    <t>u/b-builds</t>
  </si>
  <si>
    <t>CT8G4SFRA32A.M8FE</t>
  </si>
  <si>
    <t>System begins to post after a min</t>
  </si>
  <si>
    <t>@b_builds</t>
  </si>
  <si>
    <t>EU</t>
  </si>
  <si>
    <t>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1438
Serial Number: 00002018
Asset Tag: 9876543210
Part Number: TIMETEC-S8G-1600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1438
Serial Number: 00001624
Asset Tag: 9876543210
Part Number: TIMETEC-S8G-1600
Rank: Unknown
Configured Memory Speed: 1600 MT/s
Minimum Voltage: Unknown
Maximum Voltage: Unknown
Configured Voltage: Unknown</t>
  </si>
  <si>
    <t>DS223+</t>
  </si>
  <si>
    <t>uncle_tacitus</t>
  </si>
  <si>
    <t>alza.cz</t>
  </si>
  <si>
    <t>KCP432SD8/32</t>
  </si>
  <si>
    <t>u/Autom8IT</t>
  </si>
  <si>
    <t>KSM26ED8/16HD</t>
  </si>
  <si>
    <t>u/Cute-Elderberry-7866</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</si>
  <si>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Kingston
Serial Number: REDACTED
Asset Tag: Not Specified
Part Number: 9965657-035.A00G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Kingston
Serial Number: REDACTED
Asset Tag: Not Specified
Part Number: 9965657-035.A00G
Rank: 2
Configured Memory Speed: 2400 MT/s
Minimum Voltage: 1.2 V
Maximum Voltage: 1.2 V
Configured Voltage: 1.2 V</t>
  </si>
  <si>
    <t>CMSX32GX4M2A2666C18</t>
  </si>
  <si>
    <t>2x16GB module</t>
  </si>
  <si>
    <t>u/TheKringel</t>
  </si>
  <si>
    <t>digitec.ch</t>
  </si>
  <si>
    <t>u/Aleportee</t>
  </si>
  <si>
    <t>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017A
Serial Number: 08211912
Asset Tag: Not Specified
Part Number: D43.27180S.001
Rank: 1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Micron Technology
Serial Number: 4C89C3E0
Asset Tag: Not Specified
Part Number: CT16G4SFRA32A.16FE1
Rank: 2
Configured Memory Speed: 2400 MT/s
Minimum Voltage: 1.2 V
Maximum Voltage: 1.2 V
Configured Voltage: 1.2 V</t>
  </si>
  <si>
    <t>KSM32SED8/32MF</t>
  </si>
  <si>
    <t>@mumbaumba</t>
  </si>
  <si>
    <t>Kingston 16GB + Synology 4GB</t>
  </si>
  <si>
    <t>not registered</t>
  </si>
  <si>
    <t>ozon.ru</t>
  </si>
  <si>
    <t>Mem-Store</t>
  </si>
  <si>
    <t>MM4SE-32GSDE</t>
  </si>
  <si>
    <t>Memtest passed! (N.B. test runs 12 hours)</t>
  </si>
  <si>
    <t>u/poppafuze</t>
  </si>
  <si>
    <t>Part Number:</t>
  </si>
  <si>
    <t>u/lun3x</t>
  </si>
  <si>
    <t>bol.com</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</si>
  <si>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3A3CA7E0
	Asset Tag:
	Part Number: 9905744-112.A00G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</si>
  <si>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DS415+</t>
  </si>
  <si>
    <t>7.1.1-42962 Update 8</t>
  </si>
  <si>
    <t>B00C5389HQ</t>
  </si>
  <si>
    <t>lilgarylasereyes</t>
  </si>
  <si>
    <t>u/jopie1425</t>
  </si>
  <si>
    <t>megekko</t>
  </si>
  <si>
    <t>u/Shadow3542</t>
  </si>
  <si>
    <t>OLX (Mint condition, sealed)</t>
  </si>
  <si>
    <t>Made sure the module was seated firmly, waited 20 mins for bootup, no joy</t>
  </si>
  <si>
    <t>u/thescurvydawg_red</t>
  </si>
  <si>
    <t>7.2.1-69057 Update 7</t>
  </si>
  <si>
    <t>u/usrtmp</t>
  </si>
  <si>
    <t>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32 GB
Form Factor: SODIMM
Set: None
Locator: DIMM 0
Bank Locator: P0 CHANNEL A
Type: DDR4
Type Detail: Synchronous Unbuffered (Unregistered)
Speed: 3200 MT/s
Manufacturer: Kingston
Serial Number: 5E4292A6
Asset Tag: Not Specified
Part Number: 9965657-052.A00G Rank: 2
Configured Memory Speed: 2400 MT/s
Minimum Voltage: 1.2 V
Maximum Voltage: 1.2 V
Configured Voltage: 1.2 V
Handle 0x0020, DMI type 17, 40 bytes
Memory Device
Array Handle: 0x001E
Error Information Handle: 0x0023
Total Width: Unknown
Data Width: Unknown
Size: No Module Installed
Form Factor: Unknown
Set: None
Locator: DIMM 0
Bank Locator: P0 CHANNEL B
Type: Unknown
Type Detail: Unknown
Speed: Unknown
Manufacturer: 0000
Serial Number: Unknown
Asset Tag: Not Specified
Part Number: Unknown
Rank: Unknown
Configured Memory Speed: Unknown
Minimum Voltage: Unknown
Maximum Voltage: Unknown
Configured Voltage: Unknown</t>
  </si>
  <si>
    <t>dns-shop.ru</t>
  </si>
  <si>
    <t>u/Electronic_Reason_84</t>
  </si>
  <si>
    <t>Boot but not recognized</t>
  </si>
  <si>
    <t>nope</t>
  </si>
  <si>
    <t>7.2-64570 Update 4</t>
  </si>
  <si>
    <t>BLINKING BLUE LIGHT</t>
  </si>
  <si>
    <t>u/hadukn88</t>
  </si>
  <si>
    <t>CRUCIAL</t>
  </si>
  <si>
    <t>@psanabia98</t>
  </si>
  <si>
    <t>best buy</t>
  </si>
  <si>
    <t>16ATF4G64HZ-3G2E2</t>
  </si>
  <si>
    <t>ben-ba</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</si>
  <si>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2667 MT/s
Manufacturer: 017A
Serial Number: 04721281
Asset Tag: Not Specified
Part Number: D43.23180S.007 Rank: 1
Configured Memory Speed: 2400 MT/s
Minimum Voltage: 1.2 V
Maximum Voltage: 1.2 V
Configured Voltage: 1.2 V
Handle 0x0020, DMI type 17, 40 bytes
Memory Device
Array Handle: 0x001E
Error Information Handle: 0x0023
Total Width: 64 bits
Data Width: 64 bits
Size: 32 GB
Form Factor: SODIMM
Set: None
Locator: DIMM 0
Bank Locator: P0 CHANNEL B
Type: DDR4
Type Detail: Synchronous Unbuffered (Unregistered)
Speed: 3200 MT/s
Manufacturer: Micron Technology
Serial Number: 2DC894D2
Asset Tag: Not Specified
Part Number: 16ATF4G64HZ-3G2E2 Rank: 2
Configured Memory Speed: 2400 MT/s
Minimum Voltage: 1.2 V
Maximum Voltage: 1.2 V
Configured Voltage: 1.2 V</t>
  </si>
  <si>
    <t>u/cutindouble</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</si>
  <si>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00001F61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</si>
  <si>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WORKS PERFECTLY!</t>
  </si>
  <si>
    <t>Working smoothly since 2017</t>
  </si>
  <si>
    <t>u/terrumtika</t>
  </si>
  <si>
    <t>DS1815+</t>
  </si>
  <si>
    <t>CMSX16GX3M2A1600C10</t>
  </si>
  <si>
    <t>u/ProfessionalWay42</t>
  </si>
  <si>
    <t>DontHave</t>
  </si>
  <si>
    <t>Blue blinking light, will not boot</t>
  </si>
  <si>
    <t>u/o156</t>
  </si>
  <si>
    <t>GIGASTONE</t>
  </si>
  <si>
    <t>DDR4-SO2666CL19-16GB-1PK</t>
  </si>
  <si>
    <t>u/BrownSugar20</t>
  </si>
  <si>
    <t>amazon.co.jp</t>
  </si>
  <si>
    <t>u/schlauer</t>
  </si>
  <si>
    <t>u/aconnan</t>
  </si>
  <si>
    <t>u/immortalreddit</t>
  </si>
  <si>
    <t>u/Glimworm</t>
  </si>
  <si>
    <t>HMT41GS6BFR8A-RD</t>
  </si>
  <si>
    <t>@3gy111</t>
  </si>
  <si>
    <t>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1866 MT/s
Manufacturer: SK Hynix
Serial Number: 25582411
Asset Tag: 9876543210
Part Number: HMT41GS6BFR8A-RD
Rank: Unknown
Configured Memory Speed: 1866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1866 MT/s
Manufacturer: SK Hynix
Serial Number: 25422456
Asset Tag: 9876543210
Part Number: HMT41GS6BFR8A-RD
Rank: Unknown
Configured Memory Speed: 1866 MT/s
Minimum Voltage: Unknown
Maximum Voltage: Unknown
Configured Voltage: Unknown</t>
  </si>
  <si>
    <t>TED48G3200C22-S01</t>
  </si>
  <si>
    <t>mkmgraw</t>
  </si>
  <si>
    <t>@Piachu91</t>
  </si>
  <si>
    <t>allegro.pl</t>
  </si>
  <si>
    <t>DS 220+</t>
  </si>
  <si>
    <t>the listing i bought from seemed to have jumbled info between title and description</t>
  </si>
  <si>
    <t>u/suicidaljello</t>
  </si>
  <si>
    <t>barstou</t>
  </si>
  <si>
    <t>Citilink</t>
  </si>
  <si>
    <t>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Kingston
Serial Number: 502438F1
Asset Tag:
Part Number: 9905700-078.A00G
Rank: 1
Configured Memory Speed: 2400 MT/s
Minimum Voltage: 1.2 V
Maximum Voltage: 1.2 V
Configured Voltage: 1.2 V</t>
  </si>
  <si>
    <t>Local shop</t>
  </si>
  <si>
    <t>u/ZeniChan</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</si>
  <si>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0C26
Serial Number: 00000000
Asset Tag: Not Specified
Part Number: TIMETEC-ESD4-2666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0C26
Serial Number: 00000000
Asset Tag: Not Specified
Part Number: TIMETEC-ESD4-2666
Rank: 2
Configured Memory Speed: 2400 MT/s
Minimum Voltage: 1.2 V
Maximum Voltage: 1.2 V
Configured Voltage: 1.2 V</t>
  </si>
  <si>
    <t>Alberto Rossi</t>
  </si>
  <si>
    <t>2x16GB pair, sold as "Compatible with Synology Part D4ECSO-2666-16G" but my DS1821+ refused to boot (waited 24 h in case of memory tests in the background). Unit fails to boot with only 1 module installed too. Unit booted fine with the original 4GB re-installed.</t>
  </si>
  <si>
    <t>CT16G4SFRA32A/C8FF</t>
  </si>
  <si>
    <t>Blue Light flashing, no boot or beep.</t>
  </si>
  <si>
    <t>u/LOUD-CHEWING</t>
  </si>
  <si>
    <t>u/VladimirGum</t>
  </si>
  <si>
    <t>Cruical</t>
  </si>
  <si>
    <t>Ok_Cauliflower_1747</t>
  </si>
  <si>
    <t>No boot, status LED blinking blue.</t>
  </si>
  <si>
    <t>u/FallComprehensive417</t>
  </si>
  <si>
    <t>eBay (new module)</t>
  </si>
  <si>
    <t>16KTF2G64HZ-1G6A1</t>
  </si>
  <si>
    <t>Memtest passed, and 90% are used with a VM and running services. I installed it one month ago, and it has been running without any issue since.</t>
  </si>
  <si>
    <t>u/Merinorus</t>
  </si>
  <si>
    <t>aliexpress.com</t>
  </si>
  <si>
    <t># dmidecode 3.2
# SMBIOS entry point at 0x7a850000
Found SMBIOS entry point in EFI, reading table from /dev/mem.
SMBIOS 2.8 present.
Handle 0x0023, DMI type 16, 23 bytes
Physical Memory Array
Location: System Board Or Motherboard
Use: System Memory
Error Correction Type: None
Maximum Capacity: 8 GB
Error Information Handle: No Error
Number Of Devices: 2
Handle 0x0024, DMI type 17, 40 bytes
Memory Device
Array Handle: 0x0023
Error Information Handle: No Error
Total Width: 8 bits
Data Width: 8 bits
Size: 16384 MB
Form Factor: SODIMM
Set: None
Locator: ChannelA-DIMM0
Bank Locator: BANK 0
Type: DDR3
Type Detail: Synchronous
Speed: 1600 MT/s
Manufacturer: Micron
Serial Number: 21168214
Asset Tag: 9876543210
Part Number: 16KTF2G64HZ-1G6A1
Rank: Unknown
Configured Memory Speed: 1600 MT/s
Minimum Voltage: 1.35 V
Maximum Voltage: 1.5 V
Configured Voltage: Unknown</t>
  </si>
  <si>
    <t>u/llghostkillall</t>
  </si>
  <si>
    <t>Val07</t>
  </si>
  <si>
    <t>Passed all 3 synology memory test.</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</si>
  <si>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22F0834C
Asset Tag: Part Number: M471A2K43CB1-CTD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</si>
  <si>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B0CBTD552W</t>
  </si>
  <si>
    <t>u/jaegarrrrrr</t>
  </si>
  <si>
    <t>NAS doesn't boot. Power LED blink blue. There are diferent versions of this RAM module. Main part number is CT16G4SFRA32A and the remaining part is the actual sign this will work or not. 8FF1 is a single rank module with 8 memory chips on it and it won't work. However, the one ending with M16FR is dual rank and has 16 memory chips and works without any issues. So keep away from 8FF1.</t>
  </si>
  <si>
    <t>u/maximecharriere</t>
  </si>
  <si>
    <t>Digitec Galaxus SA</t>
  </si>
  <si>
    <t>No issues, rebooted normally after installation</t>
  </si>
  <si>
    <t>u/hinduhh</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</si>
  <si>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372D4500
Asset Tag: Part Number: M471A2K43CB1-CTD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</si>
  <si>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DS925+</t>
  </si>
  <si>
    <t>u/Adoia</t>
  </si>
  <si>
    <t>OWC2C6D42R8064P-ZAL-SF</t>
  </si>
  <si>
    <t>successful memory test, took &gt;12 hours to complete</t>
  </si>
  <si>
    <t>u/zzjzz</t>
  </si>
  <si>
    <t>Worked after reseating.</t>
  </si>
  <si>
    <t>kensim48</t>
  </si>
  <si>
    <t>Memtest passed no issues, system is working normally.</t>
  </si>
  <si>
    <t>u/Solid_Zero</t>
  </si>
  <si>
    <t>www.jw.com.au</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</si>
  <si>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Micron Technology
Serial Number: 4E523952
Asset Tag: Not Specified
Part Number: 9ASF2G72HZ-3G2F1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Micron Technology
Serial Number: 4E523950
Asset Tag: Not Specified
Part Number: 9ASF2G72HZ-3G2F1
Rank: 1
Configured Memory Speed: 2400 MT/s
Minimum Voltage: 1.2 V
Maximum Voltage: 1.2 V
Configured Voltage: 1.2 V</t>
  </si>
  <si>
    <t>u/Pocky-time</t>
  </si>
  <si>
    <t>ebay(used)</t>
  </si>
  <si>
    <t>removed from laptop(used Lenovo)</t>
  </si>
  <si>
    <t>DownUnderNSW</t>
  </si>
  <si>
    <t>Mwave</t>
  </si>
  <si>
    <t>HMA82GS7DJR8N-XN</t>
  </si>
  <si>
    <t>u/Conscious_Ad_1414</t>
  </si>
  <si>
    <t>PRC</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</si>
  <si>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Hynix
Serial Number: 86C59BC7
Asset Tag: Not Specified
Part Number: HMA82GS7DJR8N-XN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Hynix
Serial Number: 86C59B48
Asset Tag: Not Specified
Part Number: HMA82GS7DJR8N-XN
Rank: 2
Configured Memory Speed: 2400 MT/s
Minimum Voltage: 1.2 V
Maximum Voltage: 1.2 V
Configured Voltage: 1.2 V</t>
  </si>
  <si>
    <t>Took a little bit to boot up, had blue blinking light for a couple of minutes then booted fine with no errors</t>
  </si>
  <si>
    <t>Arcorn</t>
  </si>
  <si>
    <t>Passed Memory Test - Booted after after 2-3 mins - Memory test 3-4 hr</t>
  </si>
  <si>
    <t>u/Senitage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</si>
  <si>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000021A8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</si>
  <si>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u/Sea_Cattle9644</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</si>
  <si>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Samsung
Serial Number: EE060746
Asset Tag:
Part Number: M471A1K43CB1-CTD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</si>
  <si>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KF432S20IB/8</t>
  </si>
  <si>
    <t>/spir73</t>
  </si>
  <si>
    <t>ES</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</si>
  <si>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Kingston
Serial Number: F72A4302
Asset Tag:
Part Number: KF3200C20S4/8G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</si>
  <si>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jbroo144</t>
  </si>
  <si>
    <t>dominicusin</t>
  </si>
  <si>
    <t>moldova</t>
  </si>
  <si>
    <t>tiraet.com</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</si>
  <si>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Kingston
Serial Number: 3A44A404
Asset Tag: Part Number: 99U5700-039.A00G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</si>
  <si>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u/nopseudono</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</si>
  <si>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Samsung
Serial Number: 00000041
Asset Tag: Part Number: M474A2K43BB1-CTD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</si>
  <si>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Rollaz_</t>
  </si>
  <si>
    <t>Mironet.cz</t>
  </si>
  <si>
    <t>u/Lester_the_Lobster</t>
  </si>
  <si>
    <t>I am not on any of those</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</si>
  <si>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0C26
Serial Number: 00000000
Asset Tag: Not Specified
Part Number: TIMETEC-ESD4-2666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0C26
Serial Number: 00000000
Asset Tag: Not Specified
Part Number: TIMETEC-ESD4-2666 Rank: 2
Configured Memory Speed: 2400 MT/s
Minimum Voltage: 1.2 V
Maximum Voltage: 1.2 V
Configured Voltage: 1.2 V</t>
  </si>
  <si>
    <t>u/nikksr</t>
  </si>
  <si>
    <t>ebay.de</t>
  </si>
  <si>
    <t>Wouldn't boot, just blue light flashing.</t>
  </si>
  <si>
    <t>u/Civilise-Volume</t>
  </si>
  <si>
    <t>Best Buy</t>
  </si>
  <si>
    <t>Unbuffered 1.2V CL19 2Rx8</t>
  </si>
  <si>
    <t>u/Beatboxace</t>
  </si>
  <si>
    <t>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00000000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</si>
  <si>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‎OWC3E2D41R8032P</t>
  </si>
  <si>
    <t>Zero issue installing these 2x16GB sticks in RS2423+. Starts and runs with no warnings or flags.</t>
  </si>
  <si>
    <t>u/ohthefuture</t>
  </si>
  <si>
    <t>Amazon and macsales.com aka OWC</t>
  </si>
  <si>
    <t>tangozuluecho</t>
  </si>
  <si>
    <t>F4-3200C22S-16GRS</t>
  </si>
  <si>
    <t>good value RAM, no issue, put in at very first startup of the nas</t>
  </si>
  <si>
    <t>u/ComprehensiveTax4055</t>
  </si>
  <si>
    <t>ldlc.com</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</si>
  <si>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04CD
Serial Number: 00AA0F6F
Asset Tag:
Part Number: F4-3200C22-16GRS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</si>
  <si>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HMT41GS6BFR8A-PB</t>
  </si>
  <si>
    <t>u/Fluff-Dragon</t>
  </si>
  <si>
    <t>mta8atf2g64hz</t>
  </si>
  <si>
    <t>Blue flashing light not booting</t>
  </si>
  <si>
    <t>u/Monstertov</t>
  </si>
  <si>
    <t>m471a1g44bb0-cwe</t>
  </si>
  <si>
    <t>Flashing blue light</t>
  </si>
  <si>
    <t>Works</t>
  </si>
  <si>
    <t>..</t>
  </si>
  <si>
    <t>Took 7 hours to pass Memory Test, hangs at 75.36% for an hour, system feels more responsive</t>
  </si>
  <si>
    <t>u/serpentxx</t>
  </si>
  <si>
    <t>Amazon AU</t>
  </si>
  <si>
    <t>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CC39A80C
Asset Tag:
Part Number: TIMETEC-S16G-2666
Rank: 2
Configured Memory Speed: 2400 MT/s
Minimum Voltage: 1.2 V
Maximum Voltage: 1.2 V
Configured Voltage: 1.2 V</t>
  </si>
  <si>
    <t>RAMAXEL</t>
  </si>
  <si>
    <t>RMSA3270ME86H9F-2666</t>
  </si>
  <si>
    <t>u/Snoo_77948</t>
  </si>
  <si>
    <t>Memory test took 5 hours</t>
  </si>
  <si>
    <t>u/krokodil2000</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</si>
  <si>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00000000
Asset Tag:
Part Number: TIMETEC-S16G-2666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</si>
  <si>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DS425+</t>
  </si>
  <si>
    <t>KVR21S15S8K2/16</t>
  </si>
  <si>
    <t>One stick of Ram of a kit of two 1G x 64-bit (8GB) DDR4-2133 CL15 SDRAM (Synchronous DRAM)</t>
  </si>
  <si>
    <t>CT16G4SFRA32A.16FE1</t>
  </si>
  <si>
    <t>u/AccomplishedCover349</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</si>
  <si>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3200 MT/s
Manufacturer: Micron Technology
Serial Number: 4BAE8C85
Asset Tag: Not Specified
Part Number: CT16G4SFRA32A.16FE1
Rank: 2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Micron Technology
Serial Number: 4BAE4DEE
Asset Tag: Not Specified
Part Number: CT16G4SFRA32A.16FE1
Rank: 2
Configured Memory Speed: 2400 MT/s
Minimum Voltage: 1.2 V
Maximum Voltage: 1.2 V
Configured Voltage: 1.2 V</t>
  </si>
  <si>
    <t>Yongxinsheng</t>
  </si>
  <si>
    <t>YXS-LP-DDR4-2666-8GB-Green</t>
  </si>
  <si>
    <t>na</t>
  </si>
  <si>
    <t>u/lomotil</t>
  </si>
  <si>
    <t>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Samsung
Serial Number: 24D2330E
Asset Tag: Part Number: M471A1K43CB1-CTD Rank: 1
Configured Memory Speed: 2400 MT/s
Minimum Voltage: 1.2 V
Maximum Voltage: 1.2 V
Configured Voltage: 1.2 V</t>
  </si>
  <si>
    <t>u/Breezelaters</t>
  </si>
  <si>
    <t>I`m using script for no warnings about ram or HDD or SDD</t>
  </si>
  <si>
    <t>@BondcheG</t>
  </si>
  <si>
    <t>Rozetka</t>
  </si>
  <si>
    <t>dmidecode 3.2</t>
  </si>
  <si>
    <t>Not booting at all, waited for 30 mins and nothing happened. Tried reseating multiple times to no avail.</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</si>
  <si>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</si>
  <si>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u/kenstir</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</si>
  <si>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059B
Serial Number: DA08DD5D
Asset Tag:
Part Number: CT16G4SFD8266 auf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</si>
  <si>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DSS24+</t>
  </si>
  <si>
    <t>amazon.com.mx</t>
  </si>
  <si>
    <t>76TT16NUSL2R8-8g</t>
  </si>
  <si>
    <t>u/Edge997</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</si>
  <si>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Micron
Serial Number: 34100222
Asset Tag: Part Number: CT16G4SFRA266.M16FR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</si>
  <si>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7624TTNUS2R8-16G</t>
  </si>
  <si>
    <t>Installed 1x32GB stick with the stock one 1x8GB, works perfectly after normal boot without any community scripts.</t>
  </si>
  <si>
    <t>@tocaunt</t>
  </si>
  <si>
    <t>private</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</si>
  <si>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8192 MB
Form Factor: SODIMM
Set: None
Locator: DIMM 0
Bank Locator: P0 CHANNEL A
Type: DDR4
Type Detail: Synchronous Unbuffered (Unregistered)
Speed: 3200 MT/s
Manufacturer: A-DATA Technology
Serial Number: EA330100
Asset Tag: Not Specified
Part Number: AD4B320038G22-BSSC
Rank: 1
Configured Memory Speed: 2400 MT/s
Minimum Voltage: 1.2 V
Maximum Voltage: 1.2 V
Configured Voltage: 1.2 V
Handle 0x0020, DMI type 17, 40 bytes
Memory Device
Array Handle: 0x001E
Error Information Handle: 0x0023
Total Width: 72 bits
Data Width: 64 bits
Size: 32 GB
Form Factor: SODIMM
Set: None
Locator: DIMM 0
Bank Locator: P0 CHANNEL B
Type: DDR4
Type Detail: Synchronous Unbuffered (Unregistered)
Speed: 3200 MT/s
Manufacturer: Kingston
Serial Number: 17468B2D
Asset Tag: Not Specified
Part Number: 9965657-052.A00G
Rank: 2
Configured Memory Speed: 2400 MT/s
Minimum Voltage: 1.2 V
Maximum Voltage: 1.2 V
Configured Voltage: 1.2 V</t>
  </si>
  <si>
    <t>u/DairyQueenOfScots</t>
  </si>
  <si>
    <t>u/kkiiddooofjoy</t>
  </si>
  <si>
    <t>7.2.2-42962 update 3</t>
  </si>
  <si>
    <t>EquivalentVanilla</t>
  </si>
  <si>
    <t>MTA4ATF1G64HZ-3G2E2</t>
  </si>
  <si>
    <t>After some time the NAS turns off and does not start</t>
  </si>
  <si>
    <t>Worldly_Geologist350</t>
  </si>
  <si>
    <t>CHINA</t>
  </si>
  <si>
    <t>from notebook</t>
  </si>
  <si>
    <t>00649528903525</t>
  </si>
  <si>
    <t>u/thatChapIKnew</t>
  </si>
  <si>
    <t>CT16G4TFD8266</t>
  </si>
  <si>
    <t>DrunkMunki</t>
  </si>
  <si>
    <t>RamCity.com</t>
  </si>
  <si>
    <t>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Samsung
Serial Number: 0218ECE0
Asset Tag: Not Specified
Part Number: M474A2G43BB2-CWE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Samsung
Serial Number: 0218EC50
Asset Tag: Not Specified
Part Number: M474A2G43BB2-CWE
Rank: 1
Configured Memory Speed: 2400 MT/s
Minimum Voltage: 1.2 V
Maximum Voltage: 1.2 V
Configured Voltage: 1.2 V</t>
  </si>
  <si>
    <t>7.2.2-72806 update 3</t>
  </si>
  <si>
    <t>OW2666D4S16G</t>
  </si>
  <si>
    <t>Power LED indicator light (blue) blinked continuously. NAS did not boot.</t>
  </si>
  <si>
    <t>u/Moosemosis</t>
  </si>
  <si>
    <t>B&amp;H</t>
  </si>
  <si>
    <t>Did the memory test 3 times without error.</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</si>
  <si>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859B
Serial Number: E818768B
Asset Tag:
Part Number: TIMETEC-SD4-3200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</si>
  <si>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KSM32SED8/16HE</t>
  </si>
  <si>
    <t>u/TitaniumSilverAlien</t>
  </si>
  <si>
    <t>76TT26NUS2R8-16</t>
  </si>
  <si>
    <t>can not boot. blue light flashing</t>
  </si>
  <si>
    <t>Misaka</t>
  </si>
  <si>
    <t>Stable for four months now</t>
  </si>
  <si>
    <t>u/Odd_Statement_786</t>
  </si>
  <si>
    <t>amazon.co.au</t>
  </si>
  <si>
    <t>u/No-Potential-2240</t>
  </si>
  <si>
    <t>viphouse.rs</t>
  </si>
  <si>
    <t>bcgroup.rs</t>
  </si>
  <si>
    <t>crucial (CFD Selection)</t>
  </si>
  <si>
    <t>D4N3200CM-16GQ</t>
  </si>
  <si>
    <t>u/United_Bicycle_1194</t>
  </si>
  <si>
    <t>ESSENCORE KLEVV</t>
  </si>
  <si>
    <t>KD4AGS880-26N190A</t>
  </si>
  <si>
    <t>Japan</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</si>
  <si>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0898
Serial Number: A14C191C
Asset Tag: Part Number: KD4AGS880-26N190A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</si>
  <si>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Ds423+</t>
  </si>
  <si>
    <t>ct16g4sfra32a</t>
  </si>
  <si>
    <t>ds423+</t>
  </si>
  <si>
    <t>k10t00010918f56841</t>
  </si>
  <si>
    <t>DS225+</t>
  </si>
  <si>
    <t>u/Extreme_Erection</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</si>
  <si>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2666 MT/s
Manufacturer: Kingston
Serial Number: 0DB23D18
Asset Tag: Part Number: 99U5663-007.A00G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</si>
  <si>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X003W6NV79</t>
  </si>
  <si>
    <t>priced great!</t>
  </si>
  <si>
    <t>u/ptgerald</t>
  </si>
  <si>
    <t>KF432S201B/16</t>
  </si>
  <si>
    <t>‪@mogrogh.bsky.social‬</t>
  </si>
  <si>
    <t>NetOnNet</t>
  </si>
  <si>
    <t>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3200 MT/s
Manufacturer: Kingston
Serial Number: BF281A0E
Asset Tag: Not Specified
Part Number: KF3200C20S4/16G
Rank: 1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Kingston
Serial Number: 6D2824D0
Asset Tag: Not Specified
Part Number: KF3200C20S4/16G
Rank: 1
Configured Memory Speed: 2400 MT/s
Minimum Voltage: 1.2 V
Maximum Voltage: 1.2 V
Configured Voltage: 1.2 V</t>
  </si>
  <si>
    <t>HMA82GS6DJR8N-VK</t>
  </si>
  <si>
    <t>Bought initially for laptop but works well/ better in DS224+. Replaced similiar 4G SK Hynix module.</t>
  </si>
  <si>
    <t>CeX</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</si>
  <si>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SK Hynix
Serial Number: 00000000
Asset Tag:
Part Number: HMA82GS6DJR8N-VK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</si>
  <si>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RS3618xs</t>
  </si>
  <si>
    <t>freeman</t>
  </si>
  <si>
    <t>AD4S320016G22-SGN</t>
  </si>
  <si>
    <t>waited 20mins during first boot but light kept blinking. upon reseating of ram, booted up instantly.</t>
  </si>
  <si>
    <t>u/doooooka</t>
  </si>
  <si>
    <t>176TT26NUS2R8/16G</t>
  </si>
  <si>
    <t>u/munkie74656</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</si>
  <si>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8C26
Serial Number: 00000000
Asset Tag: Part Number: TIMETEC-SD4-2666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</si>
  <si>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MTA8ATF1G64HZ-2G6E1</t>
  </si>
  <si>
    <t>From Acer - Aspire Nitro 5 (AN515-52)</t>
  </si>
  <si>
    <t>shopee</t>
  </si>
  <si>
    <t>7.2.2-72806 Update 4</t>
  </si>
  <si>
    <t>u/orangbulu</t>
  </si>
  <si>
    <t>Shopee Singapore</t>
  </si>
  <si>
    <t>M471A2K43BC1-CTD</t>
  </si>
  <si>
    <t>u/Snoo94395</t>
  </si>
  <si>
    <t>AO1P26KCST2-BBXS</t>
  </si>
  <si>
    <t>alaska004</t>
  </si>
  <si>
    <t>ASUS Notebook</t>
  </si>
  <si>
    <t>Avion</t>
  </si>
  <si>
    <t>F4-2666C19S-16GRS</t>
  </si>
  <si>
    <t>u/xdice</t>
  </si>
  <si>
    <t>Micro Center</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</si>
  <si>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04CD
Serial Number: 00000000
Asset Tag:
Part Number: F4-2666C19-16GRS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</si>
  <si>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99U5624-003.A00G</t>
  </si>
  <si>
    <t>@yo3gts</t>
  </si>
  <si>
    <t>RO</t>
  </si>
  <si>
    <t>Getting SMBIOS data from sysfs.
SMBIOS 2.8 present.
Handle 0x0014, DMI type 16, 23 bytes
Physical Memory Array
Location: System Board Or Motherboard
Use: System Memory
Error Correction Type: Single-bit ECC
Maximum Capacity: 32 GB
Error Information Handle: No Error
Number Of Devices: 2
Handle 0x0015, DMI type 17, 40 bytes
Memory Device
Array Handle: 0x0014
Error Information Handle: No Error
Total Width: 64 bits
Data Width: 64 bits
Size: 8192 MB
Form Factor: SODIMM
Set: None
Locator: DIMM0
Bank Locator: BANK 1
Type: DDR4
Type Detail: Synchronous
Speed: 2666 MT/s
Manufacturer: Kingston
Serial Number: Fxxxxx4
Asset Tag: 01
Part Number: 99U5624-003.A00G Rank: 1
Configured Memory Speed: 2133 MT/s
Minimum Voltage: 1.2 V
Maximum Voltage: 1.2 V
Configured Voltage: 1.2 V
Handle 0x0016, DMI type 17, 40 bytes
Memory Device
Array Handle: 0x0014
Error Information Handle: No Error
Total Width: 64 bits
Data Width: 64 bits
Size: 8192 MB
Form Factor: SODIMM
Set: None
Locator: DIMM1
Bank Locator: BANK 1
Type: DDR4
Type Detail: Synchronous
Speed: 2666 MT/s
Manufacturer: Kingston
Serial Number: Exxxxx4
Asset Tag: 02
Part Number: 99U5624-003.A00G Rank: 1
Configured Memory Speed: 2133 MT/s
Minimum Voltage: 1.2 V
Maximum Voltage: 1.2 V
Configured Voltage: 1.2 V
From Syno</t>
  </si>
  <si>
    <t>u/nchouston195</t>
  </si>
  <si>
    <t>Kingston.com</t>
  </si>
  <si>
    <t>Blinking blue light, not booting</t>
  </si>
  <si>
    <t>u/MrGirlyDick</t>
  </si>
  <si>
    <t>Inet.se</t>
  </si>
  <si>
    <t>kvr16ls11/8</t>
  </si>
  <si>
    <t>Swapping both at a time did not work. 1 Synology Ram + 1 Kingston Ram, then 1 Kingstom Ram, then 2 Kingston RAM. And proper shutdowns worked.</t>
  </si>
  <si>
    <t>u/fkb089</t>
  </si>
  <si>
    <t>Ricardo</t>
  </si>
  <si>
    <t>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Kingston
	Serial Number: 25381823
	Asset Tag: 9876543210
	Part Number: 99U5428-018.A00LF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Kingston
	Serial Number: 21381723
	Asset Tag: 9876543210
	Part Number: 99U5428-018.A00LF 
	Rank: Unknown
	Configured Memory Speed: 1600 MT/s
	Minimum Voltage: Unknown
	Maximum Voltage: Unknown
	Configured Voltage: Unknown</t>
  </si>
  <si>
    <t>u/Objective-Cloud-4769</t>
  </si>
  <si>
    <t>Shopee Taiwan</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</si>
  <si>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Kingston
Serial Number: 551AE72A
Asset Tag: Not Specified
Part Number: 9965657-049.A00G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Kingston
Serial Number: 511AE741
Asset Tag: Not Specified
Part Number: 9965657-049.A00G Rank: 2
Configured Memory Speed: 2400 MT/s
Minimum Voltage: 1.2 V
Maximum Voltage: 1.2 V
Configured Voltage: 1.2 V</t>
  </si>
  <si>
    <t>Flashing blue indicator on boot</t>
  </si>
  <si>
    <t>zezking</t>
  </si>
  <si>
    <t>Apple Mac Mini 2018</t>
  </si>
  <si>
    <t>MTA4ATF51264HZ-2G6E3</t>
  </si>
  <si>
    <t>Memtest passed!</t>
  </si>
  <si>
    <t>pavelve</t>
  </si>
  <si>
    <t>Apple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</si>
  <si>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Micron
Serial Number: 1F42C4F0
Asset Tag: Part Number: 4ATF51264HZ-2G6E3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</si>
  <si>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gianx</t>
  </si>
  <si>
    <t>CT16G4SFRA2666.M16FJ</t>
  </si>
  <si>
    <t>pl250514wb#np66</t>
  </si>
  <si>
    <t>MTA9ASF2G72HZ-3G2B2ZI 16 GB</t>
  </si>
  <si>
    <t>Memtest fine, ECC states as working</t>
  </si>
  <si>
    <t>u/keiranpl</t>
  </si>
  <si>
    <t>Allegro (polish site), dudicompit seller</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</si>
  <si>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3200 MT/s
Manufacturer: Micron Technology
Serial Number: 30F79962
Asset Tag: Not Specified
Part Number: 9ASF2G72HZ-3G2B2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Micron Technology
Serial Number: 30F79845
Asset Tag: Not Specified
Part Number: 9ASF2G72HZ-3G2B2
Rank: 1
Configured Memory Speed: 2400 MT/s
Minimum Voltage: 1.2 V
Maximum Voltage: 1.2 V
Configured Voltage: 1.2 V</t>
  </si>
  <si>
    <t>SAMSUNG</t>
  </si>
  <si>
    <t>Flashing blue light for ~45s and boot successfully</t>
  </si>
  <si>
    <t>u/Mean-Carpenter-7036</t>
  </si>
  <si>
    <t>Netac</t>
  </si>
  <si>
    <t>NTBSD4N26SP-08</t>
  </si>
  <si>
    <t>@audiendo</t>
  </si>
  <si>
    <t>ds225+</t>
  </si>
  <si>
    <t>HMA82GS6JJR8N-VK</t>
  </si>
  <si>
    <t>KVR32S22D8/16</t>
  </si>
  <si>
    <t>memtest passed, the original ECC memory module was removed before inserting this one Non-ECC. Real speed 2400 MT/s</t>
  </si>
  <si>
    <t>lucidyan</t>
  </si>
  <si>
    <t>gigatron.rs</t>
  </si>
  <si>
    <t>I ordered &amp; tested following RAM &amp; it worked like a charm on my DS225+ without any issue or WARNING. And now it shows total of 18 GB RAM &amp; right now 10-11% only being used out of total memory.</t>
  </si>
  <si>
    <t>u/Medium-Mortgage8557</t>
  </si>
  <si>
    <t>7.2.2-72806 UPDATE 4</t>
  </si>
  <si>
    <t>Colorful</t>
  </si>
  <si>
    <t>NB16G2666D4NP19/H8CC04</t>
  </si>
  <si>
    <t>u/FarrowE</t>
  </si>
  <si>
    <t>P.R.China</t>
  </si>
  <si>
    <t>jd.com</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</si>
  <si>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89EC
Serial Number: 4E45D781
Asset Tag: Part Number: NB16G2666D4NP19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</si>
  <si>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xxasfsf</t>
  </si>
  <si>
    <t>colorful</t>
  </si>
  <si>
    <t>NB08G1600D3NP11L/KACC02</t>
  </si>
  <si>
    <t>Passed Synology Mem Test 2 times.</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</si>
  <si>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0923
Serial Number: 17162312
Asset Tag: 9876543210
Part Number: NB08G1600D3NP11L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0923
Serial Number: 17162312
Asset Tag: 9876543210
Part Number: NB08G1600D3NP11L
Rank: Unknown
Configured Memory Speed: 1600 MT/s
Minimum Voltage: Unknown
Maximum Voltage: Unknown
Configured Voltage: Unknown</t>
  </si>
  <si>
    <t>All fine (upgraded after few days of being "active")</t>
  </si>
  <si>
    <t>u/lishaak</t>
  </si>
  <si>
    <t>TERA.CZ</t>
  </si>
  <si>
    <t>HC11G80F</t>
  </si>
  <si>
    <t>The package shows the code:ld4as016g-b3200gsst but the RAM module has a different code. It may be a return.</t>
  </si>
  <si>
    <t>RS1619xs+</t>
  </si>
  <si>
    <t>SKhynix</t>
  </si>
  <si>
    <t>HMA82GR7AFR4N-VK T3 AC</t>
  </si>
  <si>
    <t>HPE spare part: 850880-001</t>
  </si>
  <si>
    <t>@None</t>
  </si>
  <si>
    <t># dmidecode 3.2
Getting SMBIOS data from sysfs.
SMBIOS 2.8 present.
Handle 0x0020, DMI type 16, 23 bytes
Physical Memory Array
Location: System Board Or Motherboard
Use: System Memory
Error Correction Type: Multi-bit ECC
Maximum Capacity: 128 GB
Error Information Handle: No Error
Number Of Devices: 4
Handle 0x0021, DMI type 17, 40 bytes
Memory Device
Array Handle: 0x0020
Error Information Handle: No Error
Total Width: 72 bits
Data Width: 64 bits
Size: 16384 MB
Form Factor: DIMM
Set: None
Locator: DIMM_1/1
Bank Locator: NODE 1
Type: DDR4
Type Detail: Synchronous Registered (Buffered)
Speed: 2667 MT/s
Manufacturer: 0xAD00
Serial Number: 0x72C66936
Asset Tag: Unknown
Part Number: HMA82GR7CJR4N-VK
Rank: 1
Configured Memory Speed: 2133 MT/s
Minimum Voltage: 1.2 V
Maximum Voltage: 1.2 V
Configured Voltage: 1.2 V
Handle 0x0023, DMI type 17, 40 bytes
Memory Device
Array Handle: 0x0026
Error Information Handle: No Error
Total Width: 72 bits
Data Width: 64 bits
Size: 16384 MB
Form Factor: DIMM
Set: None
Locator: DIMM_2/1
Bank Locator: NODE 1
Type: DDR4
Type Detail: Synchronous Registered (Buffered)
Speed: 2667 MT/s
Manufacturer: 0xAD00
Serial Number: 0x72C669A7
Asset Tag: Unknown
Part Number: HMA82GR7CJR4N-VK
Rank: 1
Configured Memory Speed: 2133 MT/s
Minimum Voltage: 1.2 V
Maximum Voltage: 1.2 V
Configured Voltage: 1.2 V</t>
  </si>
  <si>
    <t>u/NaverCZ</t>
  </si>
  <si>
    <t>MS21300-628K04-805</t>
  </si>
  <si>
    <t>Doesnt work with the Synology ram nor standalone</t>
  </si>
  <si>
    <t>u/tardistraveller11</t>
  </si>
  <si>
    <t>Shopee-Crucial Official Store</t>
  </si>
  <si>
    <t>Tested 3 times. I even waited over an hour.</t>
  </si>
  <si>
    <t>CT16G4SFRA32A </t>
  </si>
  <si>
    <t>system wont start</t>
  </si>
  <si>
    <t>aurelized</t>
  </si>
  <si>
    <t>NA</t>
  </si>
  <si>
    <t>7.2.1-69057 Update 8</t>
  </si>
  <si>
    <t>igi.karchi</t>
  </si>
  <si>
    <t>RS3621xs+</t>
  </si>
  <si>
    <t>HMA82GR7CJR4N-VK T3AD</t>
  </si>
  <si>
    <t>Inserted before installation</t>
  </si>
  <si>
    <t>@iDontHave</t>
  </si>
  <si>
    <t># dmidecode 3.2
Getting SMBIOS data from sysfs.
SMBIOS 2.8 present.
Handle 0x0020, DMI type 16, 23 bytes
Physical Memory Array
Location: System Board Or Motherboard
Use: System Memory
Error Correction Type: Multi-bit ECC
Maximum Capacity: 128 GB
Error Information Handle: No Error
Number Of Devices: 4
Handle 0x0021, DMI type 17, 40 bytes
Memory Device
Array Handle: 0x0020
Error Information Handle: No Error
Total Width: 72 bits
Data Width: 64 bits
Size: 16384 MB
Form Factor: DIMM
Set: None
Locator: DIMM_1/1
Bank Locator: NODE 1
Type: DDR4
Type Detail: Synchronous Registered (Buffered)
Speed: 2667 MT/s
Manufacturer: 80AD
Serial Number: 0x72C3D8AF
Asset Tag: Unknown
Part Number: HMA82GR7CJR4N-VK
Rank: 1
Configured Memory Speed: 2133 MT/s
Minimum Voltage: 1.2 V
Maximum Voltage: 1.2 V
Configured Voltage: 1.2 V
Handle 0x0023, DMI type 17, 40 bytes
Memory Device
Array Handle: 0x0026
Error Information Handle: No Error
Total Width: 72 bits
Data Width: 64 bits
Size: 16384 MB
Form Factor: DIMM
Set: None
Locator: DIMM_2/1
Bank Locator: NODE 1
Type: DDR4
Type Detail: Synchronous Registered (Buffered)
Speed: 2667 MT/s
Manufacturer: 80AD
Serial Number: 0x72C3D8AC
Asset Tag: Unknown
Part Number: HMA82GR7CJR4N-VK
Rank: 1
Configured Memory Speed: 2133 MT/s
Minimum Voltage: 1.2 V
Maximum Voltage: 1.2 V
Configured Voltage: 1.2 V</t>
  </si>
  <si>
    <t>76TT26NUS2R8-32G</t>
  </si>
  <si>
    <t>u/tedkiller</t>
  </si>
  <si>
    <t>DS1525+</t>
  </si>
  <si>
    <t>Alpo K.</t>
  </si>
  <si>
    <t>No issues at all, install &amp; boot and everything works, no warnings</t>
  </si>
  <si>
    <t>fmb_nl</t>
  </si>
  <si>
    <t>NBB.com</t>
  </si>
  <si>
    <t>CT16G4SFS832A</t>
  </si>
  <si>
    <t>samueltangtk21</t>
  </si>
  <si>
    <t>Jumbo Computer</t>
  </si>
  <si>
    <t>Tested 3 times. About 1 hour. 006.A00G ASSY IN CHINA</t>
  </si>
  <si>
    <t>eBay.it</t>
  </si>
  <si>
    <t>76TT26NUS1R8-8G</t>
  </si>
  <si>
    <t>Amazon.it</t>
  </si>
  <si>
    <t>u/ArmoredHoneyBadger</t>
  </si>
  <si>
    <t>Alza.cz</t>
  </si>
  <si>
    <t>@McPolla</t>
  </si>
  <si>
    <t>ramcity.com.au</t>
  </si>
  <si>
    <t>OWC2666DDR4S16G</t>
  </si>
  <si>
    <t>@DrCoxer</t>
  </si>
  <si>
    <t>you.gr</t>
  </si>
  <si>
    <t>M471A1K43C81</t>
  </si>
  <si>
    <t>1621+</t>
  </si>
  <si>
    <t>6.2 update 8</t>
  </si>
  <si>
    <t>Kingston Fury-Impact</t>
  </si>
  <si>
    <t>Works flawless in DS1621+ with DSM6.2</t>
  </si>
  <si>
    <t>Funny-Philosopher838</t>
  </si>
  <si>
    <t>nbb.com</t>
  </si>
  <si>
    <t>jonjuk</t>
  </si>
  <si>
    <t>United Kingdom</t>
  </si>
  <si>
    <t>7.2.2-72806 update 4</t>
  </si>
  <si>
    <t>Foxline</t>
  </si>
  <si>
    <t>FL3200D4ES22-16G</t>
  </si>
  <si>
    <t>don't have</t>
  </si>
  <si>
    <t>AM-D4NESO-2666-4G</t>
  </si>
  <si>
    <t>Makoto_Sensei</t>
  </si>
  <si>
    <t>https://lemmy.dbzer0.com/u/dditty</t>
  </si>
  <si>
    <t>Leftover from a Razer Blade 15 laptop upgrade</t>
  </si>
  <si>
    <t>MemOz</t>
  </si>
  <si>
    <t>MS426LS16</t>
  </si>
  <si>
    <t>u/lala-097</t>
  </si>
  <si>
    <t>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0080 Serial Number: 269C1BE1 Asset Tag: Part Number: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</si>
  <si>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7.3-81180</t>
  </si>
  <si>
    <t>Mimetic</t>
  </si>
  <si>
    <t>76TT26NUSR8-16G</t>
  </si>
  <si>
    <t>Won't boot</t>
  </si>
  <si>
    <t>u/novonic</t>
  </si>
  <si>
    <t>Neexus98</t>
  </si>
  <si>
    <t>MTA8ATF1G64HZ-3G2R1</t>
  </si>
  <si>
    <t>avotion</t>
  </si>
  <si>
    <t>LD4ASO08G-B3200GSST</t>
  </si>
  <si>
    <t>u/dollsatduck</t>
  </si>
  <si>
    <t>Shopee.com</t>
  </si>
  <si>
    <t>Cruicial</t>
  </si>
  <si>
    <t>CT51264BF186B</t>
  </si>
  <si>
    <t>Went to get CT2K102464BF186D, sent the wrong unit. Blinking lights, does not boot. Tried alongside a stock 4gb module and left for a few hours. No luck.</t>
  </si>
  <si>
    <t>darrenpauli</t>
  </si>
  <si>
    <t>HMA81GS6AFR8N-VK</t>
  </si>
  <si>
    <t>Avotion</t>
  </si>
  <si>
    <t>Польша</t>
  </si>
  <si>
    <t>DS224</t>
  </si>
  <si>
    <t>booted fast, not a single issue</t>
  </si>
  <si>
    <t>u/gergely_tarsoly</t>
  </si>
  <si>
    <t>allegro.hu</t>
  </si>
  <si>
    <t>On the official Lexar site, this module is also known as LD4AS016G-B3200GSST</t>
  </si>
  <si>
    <t>Vicecomes</t>
  </si>
  <si>
    <t>7.1.1-42962 Update 9</t>
  </si>
  <si>
    <t>Innodisk</t>
  </si>
  <si>
    <t>M3D0-8GSSDCPC-B135</t>
  </si>
  <si>
    <t>jorjenk</t>
  </si>
  <si>
    <t>Facebook Marketplace</t>
  </si>
  <si>
    <t>DS1825+</t>
  </si>
  <si>
    <t>No-Database-6548</t>
  </si>
  <si>
    <t>winews</t>
  </si>
  <si>
    <t>CT8G4SFRA266.C8FN</t>
  </si>
  <si>
    <t>u/ForsakenShoe4643</t>
  </si>
  <si>
    <t>Passed Synology memory test.</t>
  </si>
  <si>
    <t>defaultsecurity</t>
  </si>
  <si>
    <t>Handle 0x0024, DMI type 17, 40 bytes
Memory Device
Array Handle: 0x0023
Error Information Handle: No Error
Total Width: 8 bits
Data Width: 8 bits
Size: 8192 MB
Form Factor: SODIMM
Set: None
Locator: ChannelA-DIMM0
Bank Locator: BANK 0
Type: DDR3
Type Detail: Synchronous
Speed: 1866 MT/s
Manufacturer: Kingston
Serial Number: 97082215
Asset Tag: 9876543210
Part Number: KHX1866C11S3L/8G
Rank: Unknown
Configured Memory Speed: 1866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1866 MT/s
Manufacturer: Kingston
Serial Number: 94081215
Asset Tag: 9876543210
Part Number: KHX1866C11S3L/8G
Rank: Unknown
Configured Memory Speed: 1866 MT/s
Minimum Voltage: Unknown
Maximum Voltage: Unknown
Configured Voltage: Unknown</t>
  </si>
  <si>
    <t>7.3.1-86003</t>
  </si>
  <si>
    <t>Alan</t>
  </si>
  <si>
    <t>uk.crucial.com</t>
  </si>
  <si>
    <t>Niko</t>
  </si>
  <si>
    <t>ozon</t>
  </si>
  <si>
    <t>It is Kingston ValueRAM. Meaning "budget friendly". Otherwise same like KCP432SD8/16. I tryed run 3x 4GB RAM VMs, all started up</t>
  </si>
  <si>
    <t>none, call me "pivvvo"</t>
  </si>
  <si>
    <t>F4-3200C22-8GRS</t>
  </si>
  <si>
    <t>RAM was put in at very first startup of the NAS, booted and worked fine. When initalizing it upgrades to DSM 7.3.1-86003</t>
  </si>
  <si>
    <t>KF429S17IB1/16</t>
  </si>
  <si>
    <t>just this one stick without original present</t>
  </si>
  <si>
    <t>u/RyuuLT</t>
  </si>
  <si>
    <t>Lithuania</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</si>
  <si>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2933 MT/s
Manufacturer: Kingston
Serial Number: D98AFA28
Asset Tag: Not Specified
Part Number: KF2933C17S4/16G
Rank: 2
Configured Memory Speed: 2400 MT/s
Minimum Voltage: 1.2 V
Maximum Voltage: 1.2 V
Configured Voltage: 1.2 V</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</si>
  <si>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Micron
Serial Number: EB41CDF4
Asset Tag: Part Number: CT8G4SFRA32A.C8FR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</si>
  <si>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KF318LS11IBK2/16</t>
  </si>
  <si>
    <t>Does not boot. Status LED blinks.</t>
  </si>
  <si>
    <t>ds720+</t>
  </si>
  <si>
    <t>timetec</t>
  </si>
  <si>
    <t>76tt26nus1r8</t>
  </si>
  <si>
    <t>@not_applicable</t>
  </si>
  <si>
    <t>Worked on first boot with no issues.</t>
  </si>
  <si>
    <t>@Anesidorable</t>
  </si>
  <si>
    <t>Umart.com.au</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</si>
  <si>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04CB
Serial Number: 7AAF0000
Asset Tag:
Part Number: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</si>
  <si>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Ozon</t>
  </si>
  <si>
    <t>PSD432G322002S</t>
  </si>
  <si>
    <t>levi456</t>
  </si>
  <si>
    <t>7.3.1-86003 Update 1</t>
  </si>
  <si>
    <t>HMAA4GS6AJR8N-XN</t>
  </si>
  <si>
    <t>u/sHiKoRa81</t>
  </si>
  <si>
    <t>HMAA2GS6AJR8N-XN</t>
  </si>
  <si>
    <t>Blinking blue light turned solid after a couple minutes, memtest passed after &lt; 6 hrs.</t>
  </si>
  <si>
    <t>u/gravyshots</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</si>
  <si>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066D
Serial Number: 00000000
Asset Tag: Not Specified
Part Number: TES416G26D819K-VKC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066D
Serial Number: 00000000
Asset Tag: Not Specified
Part Number: TES416G26D819K-VKC Rank: 2
Configured Memory Speed: 2400 MT/s
Minimum Voltage: 1.2 V
Maximum Voltage: 1.2 V
Configured Voltage: 1.2 V</t>
  </si>
  <si>
    <t>u/ericpoppleton</t>
  </si>
  <si>
    <t>Memory Express</t>
  </si>
  <si>
    <t>7.2.2-72806 Update 5</t>
  </si>
  <si>
    <t>KCP432SS8/16</t>
  </si>
  <si>
    <t>U/bar</t>
  </si>
  <si>
    <t>DSM seems to limit the speed at 2400 MT/s</t>
  </si>
  <si>
    <t>Handle 0x001F, DMI type 17, 40 bytes</t>
  </si>
  <si>
    <t>Sk Hynix</t>
  </si>
  <si>
    <t>Handle 0x0020, DMI type 17, 40 bytes</t>
  </si>
  <si>
    <t>D4NESO</t>
  </si>
  <si>
    <t>The memory doesn't load.</t>
  </si>
  <si>
    <t>u/AttitudeOne4886</t>
  </si>
  <si>
    <t>LD4AS008G-B3200GSST</t>
  </si>
  <si>
    <t>a tad tricky to seat, need to do it with the drives removed, second go worked</t>
  </si>
  <si>
    <t>Sure-Cauliflower-564</t>
  </si>
  <si>
    <t>CT8G4SFRA32A.4FE2</t>
  </si>
  <si>
    <t>u/meteobear</t>
  </si>
  <si>
    <t>u/bgballin</t>
  </si>
  <si>
    <t>not a member</t>
  </si>
  <si>
    <t>u/nico282</t>
  </si>
  <si>
    <t>Label says made in India.</t>
  </si>
  <si>
    <t>u/Dependent-Sun-1916</t>
  </si>
  <si>
    <t>shop.tsukumo.co.jp</t>
  </si>
  <si>
    <t>cdn_grimlock</t>
  </si>
  <si>
    <t>Oleg</t>
  </si>
  <si>
    <t>CT8G4SFRA266.C8FB</t>
  </si>
  <si>
    <t>u/GearTemporary1440</t>
  </si>
  <si>
    <t>PB Tech</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</si>
  <si>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AB1089F9
Asset Tag:
Part Number: 99U5744-016.A00G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</si>
  <si>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FBAFR25101602</t>
  </si>
  <si>
    <t>u/Intelligent_Bar_2200</t>
  </si>
  <si>
    <t>Handle 0x0024, DMI type 17, 40 bytes</t>
  </si>
  <si>
    <t>016GBLFU320X02</t>
  </si>
  <si>
    <t>non</t>
  </si>
  <si>
    <t>2C6D42R816GB</t>
  </si>
  <si>
    <t>u/ajh3415</t>
  </si>
  <si>
    <t>7.3.2-86009</t>
  </si>
  <si>
    <t>NTBSD4N32SP-16</t>
  </si>
  <si>
    <t>Full model number is: NBSXS2BD4163200G0M8SP</t>
  </si>
  <si>
    <t>u/Smodey</t>
  </si>
  <si>
    <t>NZ</t>
  </si>
  <si>
    <t>PBTech.co.nz</t>
  </si>
  <si>
    <t>OWC 16GB DDR4 2666MHz PC4-21300 CL19 2RX8 non-ECC SODIMM 1.2V 260-pin</t>
  </si>
  <si>
    <t>joto</t>
  </si>
  <si>
    <t>It just worked, NAS took 3-5 min to start after memory upgrade</t>
  </si>
  <si>
    <t>u/rflepl</t>
  </si>
  <si>
    <t>CyberSprzet</t>
  </si>
  <si>
    <t>LD4S08G32C22ST-BGD</t>
  </si>
  <si>
    <t>I used 1x 8GB from a 16GB set (2x8GB)</t>
  </si>
  <si>
    <t>7.2.2-42806 Update 4</t>
  </si>
  <si>
    <t>Ran Memory Test using Synology assistant 3 times as recommended - PASSED</t>
  </si>
  <si>
    <t>u/MuffinNo5522</t>
  </si>
  <si>
    <t>ТМИ</t>
  </si>
  <si>
    <t>ЦРМП.467526.007-01</t>
  </si>
  <si>
    <t>Few_Maintenance7317</t>
  </si>
  <si>
    <t>maidenless_mohg</t>
  </si>
  <si>
    <t>@raylee_930</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</si>
  <si>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Kingston
Serial Number: C1A33B27
Asset Tag:
Part Number: 9905744-006.A00G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</si>
  <si>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u/DarkX2</t>
  </si>
  <si>
    <t>Used</t>
  </si>
  <si>
    <t>SkHynix</t>
  </si>
  <si>
    <t>HMA851S6CJR6N-VK</t>
  </si>
  <si>
    <t>Memtest OK</t>
  </si>
  <si>
    <t>u/YouCareless2398</t>
  </si>
  <si>
    <t>from some acer or asus notebook</t>
  </si>
  <si>
    <t>memtest OK</t>
  </si>
  <si>
    <t>AT Computers</t>
  </si>
  <si>
    <t>@fnosle</t>
  </si>
  <si>
    <t>u/deepcube</t>
  </si>
  <si>
    <t># dmidecode 3.2
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1438
Serial Number: 00000000
Asset Tag: 9876543210
Part Number: TIMETEC-SD3-1600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1438
Serial Number: 00000000
Asset Tag: 9876543210
Part Number: TIMETEC-SD3-1600 Rank: Unknown
Configured Memory Speed: 1600 MT/s
Minimum Voltage: Unknown
Maximum Voltage: Unknown
Configured Voltage: Unknown</t>
  </si>
  <si>
    <t>TW</t>
  </si>
  <si>
    <t>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Kingston
Serial Number: 01311710
Asset Tag: 9876543210
Part Number: 99U5428-082.A00LF
Rank: Unknown
Configured Memory Speed: 1600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1600 MT/s
Manufacturer: Kingston
Serial Number: 08482113
Asset Tag: 9876543210
Part Number: 99U5428-018.A00LF
Rank: Unknown
Configured Memory Speed: 1600 MT/s
Minimum Voltage: Unknown
Maximum Voltage: Unknown
Configured Voltage: Unknown</t>
  </si>
  <si>
    <t>ACR32D4S2S1ME-8</t>
  </si>
  <si>
    <t>Old memory from an Acer Nitro 5 laptop</t>
  </si>
  <si>
    <t>Don't have one</t>
  </si>
  <si>
    <t>u/FactoryRatte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</si>
  <si>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Micron
Serial Number: DC080000
Asset Tag:
Part Number: MTA16ATF2G64HZ-2G6H1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</si>
  <si>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This is used RAM</t>
  </si>
  <si>
    <t>u/darkx2</t>
  </si>
  <si>
    <t>Ricardo (used)</t>
  </si>
  <si>
    <t>M471A1K43DB0-CTD</t>
  </si>
  <si>
    <t>kearth</t>
  </si>
  <si>
    <t>Korea</t>
  </si>
  <si>
    <t>DS1512+</t>
  </si>
  <si>
    <t>teo1966</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</si>
  <si>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Hynix
Serial Number: 821C6473
Asset Tag: Not Specified
Part Number: HMA82GS7CJR8N-VK
Rank: 2
Configured Memory Speed: 2400 MT/s
Minimum Voltage: 1.2 V
Maximum Voltage: 1.2 V
Configured Voltage: 1.2 V
Handle 0x0020, DMI type 17, 40 bytes
Memory Device
Array Handle: 0x001E
Error Information Handle: 0x0023
Total Width: 72 bits
Data Width: 64 bits
Size: 4096 MB
Form Factor: SODIMM
Set: None
Locator: DIMM 0
Bank Locator: P0 CHANNEL B
Type: DDR4
Type Detail: Synchronous Unbuffered (Unregistered)
Speed: 2667 MT/s
Manufacturer: 08F7
Serial Number: 5C5B0D1C
Asset Tag: Not Specified
Part Number: D4XS12081SH26A-C
Rank: 1
Configured Memory Speed: 2400 MT/s
Minimum Voltage: 1.2 V
Maximum Voltage: 1.2 V
Configured Voltage: 1.2 V</t>
  </si>
  <si>
    <t>G.Skill Ripjaw</t>
  </si>
  <si>
    <t>F4-2666C195S-8GRS</t>
  </si>
  <si>
    <t>Blinking blue light for 16hrs</t>
  </si>
  <si>
    <t>Thomas</t>
  </si>
  <si>
    <t>Conrad</t>
  </si>
  <si>
    <t>423+</t>
  </si>
  <si>
    <t>u/kethryvis</t>
  </si>
  <si>
    <t>Updated to 7.3.2 with ram already installed, working, and crossed fingers.</t>
  </si>
  <si>
    <t>Ebay seller</t>
  </si>
  <si>
    <t>@_r4zr1</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</si>
  <si>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2666 MT/s
Manufacturer: Kingston
Serial Number: 17466D6F
Asset Tag: Part Number: 9905700-116.A00G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</si>
  <si>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CT8G4SFS824A.C8FT</t>
  </si>
  <si>
    <t>u/Bolka4u</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</si>
  <si>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859B
Serial Number: XXXXXXXX
Asset Tag:
Part Number: CT8G4SFS824A.C8FT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</si>
  <si>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16ATF2G64HZ-2G6E1</t>
  </si>
  <si>
    <t>toorzilla_</t>
  </si>
  <si>
    <t>$ sudo dmidecode -t memory
#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Micron
Serial Number: F0D43D2B
Asset Tag:
Part Number: 16ATF2G64HZ-2G6E1
Rank: 2
Configured Memory Speed: 2400 MT/s
Minimum Voltage: 1.2 V
Maximum Voltage: 1.2 V
Configured Voltage: 1.2 V
Handle 0x0022, DMI type 17, 40 bytes
Memory Device
Array Handle: 0x0020
Error Information Handle: No Error
Total Width: 64 bits
Data Width: 64 bits
Size: 4096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</si>
  <si>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7.2.2-86039</t>
  </si>
  <si>
    <t>NCR</t>
  </si>
  <si>
    <t>AVJ642GU42J7240NF-AP</t>
  </si>
  <si>
    <t>RAM that is used in NCR Misano/6th gen mainboards - ATM's and SST's.</t>
  </si>
  <si>
    <t>/uJustMikD</t>
  </si>
  <si>
    <t>NCR - Surplus stock (free:) )</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</si>
  <si>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2400 MT/s
Manufacturer: 85F7
Serial Number: 00001649
Asset Tag:
Part Number: J642GU42J7240NF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</si>
  <si>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u/TheRealResU</t>
  </si>
  <si>
    <t>CT16G4SFD832A.C8FD1</t>
  </si>
  <si>
    <t>Regard - Russia</t>
  </si>
  <si>
    <t>Make sure that it is seated properly. Got flashing blue LED "forever" first time. Reseated and worked fine. Extremely quick after new RAM has been added.</t>
  </si>
  <si>
    <t>u/bngzk</t>
  </si>
  <si>
    <t>ComputerSalg</t>
  </si>
  <si>
    <t>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Micron
Serial Number: 4F58C6E9
Asset Tag:
Part Number: CT8G4SFRA32A.8FR1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</si>
  <si>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Improper shutdowns, memtest fails with err=4</t>
  </si>
  <si>
    <t>@connor.jp</t>
  </si>
  <si>
    <t>HMA851S6DJR6N</t>
  </si>
  <si>
    <t>"https://www.facebook.com/nexudes" pls not public!!!</t>
  </si>
  <si>
    <t>Hu</t>
  </si>
  <si>
    <t>old notebook</t>
  </si>
  <si>
    <t>elaz</t>
  </si>
  <si>
    <t>Had to reseat memory once</t>
  </si>
  <si>
    <t>Independent-Car-3894</t>
  </si>
  <si>
    <t>CT8G4SFRA266.C8FE</t>
  </si>
  <si>
    <t>@fvd1975</t>
  </si>
  <si>
    <t>secondhand platform</t>
  </si>
  <si>
    <t>Kingston Technology</t>
  </si>
  <si>
    <t>This RAM is difficult to find and can be near $200 per module. An untested (by me) substitute is OWC 16GB Replacement for Synology D4ES03-16G - DDR4 2666 PC4-21300 CL19 2Rx8 260-pin 1.2V ECC Unbuffered SODIMM Memory RAM Module Upgrade for $125/ module.</t>
  </si>
  <si>
    <t>Not a Reddit member</t>
  </si>
  <si>
    <t>KF432S20IBK2/32</t>
  </si>
  <si>
    <t>u/stimim</t>
  </si>
  <si>
    <t>momoshop.com.tw</t>
  </si>
  <si>
    <t>u/johndoe</t>
  </si>
  <si>
    <t>OWC2666DDR4S64P</t>
  </si>
  <si>
    <t>u/baneofserenity</t>
  </si>
  <si>
    <t>Handle 0x0021, DMI type 17, 40 bytes
Memory Device
	Array Handle: 0x0020
	Error Information Handle: No Error
	Total Width: 64 bits
	Data Width: 64 bits
	Size: 32 GB
	Form Factor: SODIMM
	Set: None
	Locator: ChannelA-DIMM0
	Bank Locator: BANK 0
	Type: DDR4
	Type Detail: Synchronous Unbuffered (Unregistered)
	Speed: 2666 MT/s
	Manufacturer: 0000
	Serial Number: 2022006F
	Asset Tag:
	Part Number:
	Rank: 2
	Configured Memory Speed: 2400 MT/s
	Minimum Voltage: 1.2 V
	Maximum Voltage: 1.2 V
	Configured Voltage: 1.2 V</t>
  </si>
  <si>
    <t>U/fliiproeland</t>
  </si>
  <si>
    <t>doesn't have one</t>
  </si>
  <si>
    <t>@saylor25</t>
  </si>
  <si>
    <t>HMA851S6DJR6N - XN</t>
  </si>
  <si>
    <t>used</t>
  </si>
  <si>
    <t>RMSA3260MH78HAF</t>
  </si>
  <si>
    <t>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Synology
Serial Number: 10F300CB
Asset Tag: Not Specified
Part Number: M4DE-4GSSPC0M-G
Rank: 1
Configured Memory Speed: 2400 MT/s
Minimum Voltage: 1.2 V
Maximum Voltage: 1.2 V
Configured Voltage: 1.2 V
Handle 0x0020, DMI type 17, 40 bytes
Memory Device
Array Handle: 0x001E
Error Information Handle: 0x0023
Total Width: 64 bits
Data Width: 64 bits
Size: 8192 MB
Form Factor: SODIMM
Set: None
Locator: DIMM 0
Bank Locator: P0 CHANNEL B
Type: DDR4
Type Detail: Synchronous Unbuffered (Unregistered)
Speed: 2667 MT/s
Manufacturer: Ramaxel Technology
Serial Number: 121D987D
Asset Tag: Not Specified
Part Number: RMSA3260ME78HAF-2666
Rank: 1
Configured Memory Speed: 2400 MT/s
Minimum Voltage: 1.2 V
Maximum Voltage: 1.2 V
Configured Voltage: 1.2 V</t>
  </si>
  <si>
    <t>trable</t>
  </si>
  <si>
    <t>DE</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</si>
  <si>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2400 MT/s
Manufacturer: 859B
Serial Number: 5513C1BE
Asset Tag:
Part Number: CT8G4SFRA266.M8FD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</si>
  <si>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MT16KTF1G64HZ-1G9P1</t>
  </si>
  <si>
    <t>Albert-strj</t>
  </si>
  <si>
    <t>Handle 0x0024, DMI type 17, 40 bytes
Memory Device
Array Handle: 0x0023
Error Information Handle: No Error
Total Width: 8 bits
Data Width: 8 bits
Size: 8192 MB
Form Factor: SODIMM
Set: None
Locator: ChannelB-DIMM0
Bank Locator: BANK 1
Type: DDR3
Type Detail: Synchronous
Speed: 1866 MT/s
Manufacturer: Micron
Serial Number: 31221723
Asset Tag: 9876543210
Part Number: 16KTF1G64HZ-1G9P1
Rank: Unknown
Configured Memory Speed: 1866 MT/s
Minimum Voltage: Unknown
Maximum Voltage: Unknown
Configured Voltage: Unknown</t>
  </si>
  <si>
    <t>M474A2K43DB1-CWEQ</t>
  </si>
  <si>
    <t>4 GB Synology module + 16 GB Samsung module</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</si>
  <si>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Synology
Serial Number: 49413977
Asset Tag: Not Specified
Part Number: D43.27180S.00C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Samsung
Serial Number: 043468EF
Asset Tag: Not Specified
Part Number: M474A2K43DB1-CWE
Rank: 2
Configured Memory Speed: 2400 MT/s
Minimum Voltage: 1.2 V
Maximum Voltage: 1.2 V
Configured Voltage: 1.2 V</t>
  </si>
  <si>
    <t>7.3.2-86009 Update 1</t>
  </si>
  <si>
    <t>lathoub</t>
  </si>
  <si>
    <t>alternate.be</t>
  </si>
  <si>
    <t>This model is comprised of two OWC2C6D42R816GB modules (which are already listed as successful for another user). I wanted to provide positive confirmation that the kit model also works.</t>
  </si>
  <si>
    <t>@anonymous</t>
  </si>
  <si>
    <t>macsales.com ("Powered by OWC")</t>
  </si>
  <si>
    <t>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16384 MB
Form Factor: SODIMM
Set: None
Locator: DIMM 0
Bank Locator: P0 CHANNEL A
Type: DDR4
Type Detail: Synchronous Unbuffered (Unregistered)
Speed: 2667 MT/s
Manufacturer: 0000
Serial Number: 0034A09A
Asset Tag: Not Specified
Part Number: Unknown
Rank: 2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2667 MT/s
Manufacturer: 0000
Serial Number: 0034A0B5
Asset Tag: Not Specified
Part Number: Unknown
Rank: 2
Configured Memory Speed: 2400 MT/s
Minimum Voltage: 1.2 V
Maximum Voltage: 1.2 V
Configured Voltage: 1.2 V</t>
  </si>
  <si>
    <t>7.3.2</t>
  </si>
  <si>
    <t>VisibleStatement6247</t>
  </si>
  <si>
    <t>7.3.2-86009 update 1</t>
  </si>
  <si>
    <t>KSM26SED8</t>
  </si>
  <si>
    <t>Alexm3</t>
  </si>
  <si>
    <t>România</t>
  </si>
  <si>
    <t>Local store</t>
  </si>
  <si>
    <t>K6VDX7-MIE</t>
  </si>
  <si>
    <t>Volume corrupted, lost data</t>
  </si>
  <si>
    <t>u/abhargava_71</t>
  </si>
  <si>
    <t>izacus</t>
  </si>
  <si>
    <t>Getting SMBIOS data from sysfs.
SMBIOS 3.0.0 present.
Handle 0x0023, DMI type 16, 23 bytes
Physical Memory Array
Location: System Board Or Motherboard
Use: System Memory
Error Correction Type: None
Maximum Capacity: 16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1866 MT/s
Manufacturer: Micron
Serial Number: 22172513
Asset Tag: 9876543210
Part Number: CT8G3S186DM.M16FP
Rank: Unknown
Configured Memory Speed: 1866 MT/s
Minimum Voltage: Unknown
Maximum Voltage: Unknown
Configured Voltage: Unknown
Handle 0x0025, DMI type 17, 40 bytes
Memory Device
Array Handle: 0x0023
Error Information Handle: No Error
Total Width: 8 bits
Data Width: 8 bits
Size: 8192 MB
Form Factor: SODIMM
Set: None
Locator: ChannelB-DIMM0
Bank Locator: BANK 1
Type: DDR3
Type Detail: Synchronous
Speed: 1866 MT/s
Manufacturer: Micron
Serial Number: 22172513
Asset Tag: 9876543210
Part Number: CT8G3S186DM.M16FP
Rank: Unknown
Configured Memory Speed: 1866 MT/s
Minimum Voltage: Unknown
Maximum Voltage: Unknown
Configured Voltage: Unknown</t>
  </si>
  <si>
    <t>u/General-Mess-4740</t>
  </si>
  <si>
    <t>bueromarkt-ag.de</t>
  </si>
  <si>
    <t>KTD-PE432ES8/16G</t>
  </si>
  <si>
    <t>Alex</t>
  </si>
  <si>
    <t>Module from Asus Zephyrus G15 laptop that shit itself</t>
  </si>
  <si>
    <t>u/ShadowRunnerKYT</t>
  </si>
  <si>
    <t>Kingston Fury Impact</t>
  </si>
  <si>
    <t>Paraguai</t>
  </si>
  <si>
    <t>Excell</t>
  </si>
  <si>
    <t>@cwilliamhicks</t>
  </si>
  <si>
    <t>MacSales.com (OWC)</t>
  </si>
  <si>
    <t>second hand</t>
  </si>
  <si>
    <t>CT8G4SFS832A</t>
  </si>
  <si>
    <t>@86Zaps</t>
  </si>
  <si>
    <t>UMart</t>
  </si>
  <si>
    <t>7.3.1-</t>
  </si>
  <si>
    <t>656464205781/ME21300-328K04-G</t>
  </si>
  <si>
    <t>Install DSM before installing the ram.</t>
  </si>
  <si>
    <t>/MedikHerb</t>
  </si>
  <si>
    <t>amazon.com, nemix.com</t>
  </si>
  <si>
    <t># dmidecode 3.2
Getting SMBIOS data from sysfs.
SMBIOS 2.8 present.
Handle 0x0020, DMI type 16, 23 bytes
Physical Memory Array
Location: System Board Or Motherboard
Use: System Memory
Error Correction Type: Multi-bit ECC
Maximum Capacity: 128 GB
Error Information Handle: No Error
Number Of Devices: 4
Handle 0x0021, DMI type 17, 40 bytes
Memory Device
Array Handle: 0x0020
Error Information Handle: No Error
Total Width: 72 bits
Data Width: 64 bits
Size: 32 GB
Form Factor: DIMM
Set: None
Locator: DIMM_1/1
Bank Locator: NODE 1
Type: DDR4
Type Detail: Synchronous Unbuffered (Unregistered)
Speed: 2667 MT/s
Manufacturer: 0x0000
Serial Number: 0x00131868
Asset Tag: Unknown
Part Number: Rank: 1
Configured Memory Speed: 2133 MT/s
Minimum Voltage: 1.2 V
Maximum Voltage: 1.2 V
Configured Voltage: 1.2 V
Handle 0x0022, DMI type 17, 40 bytes
Memory Device
Array Handle: 0x0026
Error Information Handle: No Error
Total Width: 72 bits
Data Width: 64 bits
Size: 32 GB
Form Factor: DIMM
Set: None
Locator: DIMM_1/2
Bank Locator: NODE 1
Type: DDR4
Type Detail: Synchronous Unbuffered (Unregistered)
Speed: 2667 MT/s
Manufacturer: 0x0000
Serial Number: 0x0012C81F
Asset Tag: Unknown
Part Number: Rank: 2
Configured Memory Speed: 2133 MT/s
Minimum Voltage: 1.2 V
Maximum Voltage: 1.2 V
Configured Voltage: 1.2 V
Handle 0x0023, DMI type 17, 40 bytes
Memory Device
Array Handle: 0x0027
Error Information Handle: No Error
Total Width: 72 bits
Data Width: 64 bits
Size: 32 GB
Form Factor: DIMM
Set: None
Locator: DIMM_2/1
Bank Locator: NODE 1
Type: DDR4
Type Detail: Synchronous Unbuffered (Unregistered)
Speed: 2667 MT/s
Manufacturer: 0x0000
Serial Number: 0x00131893
Asset Tag: Unknown
Part Number: Rank: 1
Configured Memory Speed: 2133 MT/s
Minimum Voltage: 1.2 V
Maximum Voltage: 1.2 V
Configured Voltage: 1.2 V
Handle 0x0024, DMI type 17, 40 bytes
Memory Device
Array Handle: 0x0028
Error Information Handle: No Error
Total Width: 72 bits
Data Width: 64 bits
Size: 32 GB
Form Factor: DIMM
Set: None
Locator: DIMM_2/2
Bank Locator: NODE 1
Type: DDR4
Type Detail: Synchronous Unbuffered (Unregistered)
Speed: 2667 MT/s
Manufacturer: 0x0000
Serial Number: 0x001316BE
Asset Tag: Unknown
Part Number: Rank: 2
Configured Memory Speed: 2133 MT/s
Minimum Voltage: 1.2 V
Maximum Voltage: 1.2 V
Configured Voltage: 1.2 V</t>
  </si>
  <si>
    <t>u/ChrisDeBruyne</t>
  </si>
  <si>
    <t>u/Theo_Bursar</t>
  </si>
  <si>
    <t>Alza.at</t>
  </si>
  <si>
    <t>@paul</t>
  </si>
  <si>
    <t>7.2.2-72806 Update 6</t>
  </si>
  <si>
    <t>Active_Jackfruit5065</t>
  </si>
  <si>
    <t>Second hand</t>
  </si>
  <si>
    <t>6.2.3-25426</t>
  </si>
  <si>
    <t>HMT451S6DFR8A</t>
  </si>
  <si>
    <t>rage</t>
  </si>
  <si>
    <t>Amazon return bin</t>
  </si>
  <si>
    <t>CT8G4SFRA32A.C8FR</t>
  </si>
  <si>
    <t>Anonymous</t>
  </si>
  <si>
    <t>Proshop (DK)</t>
  </si>
  <si>
    <t>www.itrepowered.nl</t>
  </si>
  <si>
    <t>u/Iron_Fist_Xi</t>
  </si>
  <si>
    <t>viper</t>
  </si>
  <si>
    <t>PVS416G240C5S</t>
  </si>
  <si>
    <t>Will not boot, only blue light flashes. Label on memory stick states "product of India" full partnumber is CT16G4SFRA32A.8FF1</t>
  </si>
  <si>
    <t>Alternate</t>
  </si>
  <si>
    <t>DS216+</t>
  </si>
  <si>
    <t>7.3.2-86009 Update 3</t>
  </si>
  <si>
    <t>Installed in 2016 working fine</t>
  </si>
  <si>
    <t>u/IraKiVaper</t>
  </si>
  <si>
    <t>lambda-tek.com</t>
  </si>
  <si>
    <t># dmidecode 3.2
# SMBIOS entry point at 0x7a850000
Found SMBIOS entry point in EFI, reading table from /dev/mem.
SMBIOS 2.8 present.
Handle 0x0023, DMI type 16, 23 bytes
Physical Memory Array
Location: System Board Or Motherboard
Use: System Memory
Error Correction Type: None
Maximum Capacity: 8 GB
Error Information Handle: No Error
Number Of Devices: 2
Handle 0x0024, DMI type 17, 40 bytes
Memory Device
Array Handle: 0x0023
Error Information Handle: No Error
Total Width: 8 bits
Data Width: 8 bits
Size: 8192 MB
Form Factor: SODIMM
Set: None
Locator: ChannelA-DIMM0
Bank Locator: BANK 0
Type: DDR3
Type Detail: Synchronous
Speed: 1600 MT/s
Manufacturer: 1315
Serial Number: 16121510
Asset Tag: 9876543210
Part Number: CT102464BF160B.C16
Rank: Unknown
Configured Memory Speed: 1600 MT/s
Minimum Voltage: 1.35 V
Maximum Voltage: 1.5 V
Configured Voltage: Unknown</t>
  </si>
  <si>
    <t>Installed with DSM 7.3.2-86009 Update 1, first time booted up in ±4mins, functions normally - 24h have passed. Updated DSM in the meantime, also works (previous entry at 18/03/2026 21:20:06 was also mine - that brand/model didn't work)</t>
  </si>
  <si>
    <t>TIMETEC Premium</t>
  </si>
  <si>
    <t>Moved from DS718+, migrated existing drives, then inserted addl memory. Rebooted without a hitch.</t>
  </si>
  <si>
    <t>u/xepaehttih</t>
  </si>
  <si>
    <t>RS1221RP+</t>
  </si>
  <si>
    <t>u/Adventurous_Skin_65</t>
  </si>
  <si>
    <t>Direct from Arch Memory</t>
  </si>
  <si>
    <t>Failed to boot - blue flashy light</t>
  </si>
  <si>
    <t>u/PromiseMaleficent259</t>
  </si>
  <si>
    <t>Frimi01</t>
  </si>
  <si>
    <t>Norway</t>
  </si>
  <si>
    <t>csmegastore</t>
  </si>
  <si>
    <t>Booted instantly, quick memory check</t>
  </si>
  <si>
    <t>u/teknokracy</t>
  </si>
  <si>
    <t>NAS will not power up with this module (no lights, nothing.) Do not recommend</t>
  </si>
  <si>
    <t>DS725+</t>
  </si>
  <si>
    <t>u/A5hma5h</t>
  </si>
  <si>
    <t>.onlinetrade.ru</t>
  </si>
  <si>
    <t>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Synology
Serial Number: 50516751
Asset Tag: Not Specified
Part Number: D43.27180S.00C Rank: 1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Kingston
Serial Number: B21A939E
Asset Tag: Not Specified
Part Number: 9905700-019.A00G Rank: 1
Configured Memory Speed: 2400 MT/s
Minimum Voltage: 1.2 V
Maximum Voltage: 1.2 V
Configured Voltage: 1.2 V</t>
  </si>
  <si>
    <t>u/Federal-Salad-9797</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</si>
  <si>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3200 MT/s
Manufacturer: Kingston
Serial Number: 26AB0B89
Asset Tag:
Part Number: 9905744-108.A00G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</si>
  <si>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M474A1K43DB1-CTD</t>
  </si>
  <si>
    <t>u/Far-Discussion6078</t>
  </si>
  <si>
    <t xml:space="preserve">#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2666 MT/s
        Manufacturer: Samsung
        Serial Number: 32638068
        Asset Tag:
        Part Number: M471A1K43DB1-CTD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
</t>
  </si>
  <si>
    <t>Installed before initializing NAS</t>
  </si>
  <si>
    <t>u/MojoSpeak</t>
  </si>
  <si>
    <t>WB.ru</t>
  </si>
  <si>
    <t>CT16G4SFD824A.C16FB1</t>
  </si>
  <si>
    <t>3 attempts. NAS can't start for about an hour.</t>
  </si>
  <si>
    <t>Avito</t>
  </si>
  <si>
    <t>M471A1G44ab0</t>
  </si>
  <si>
    <t>The blue LED was blinking for about 40 seconds or a minute, after which the NAS booted up as usual</t>
  </si>
  <si>
    <t>u/Ravenger2709</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</si>
  <si>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3200 MT/s
        Manufacturer: Samsung
        Serial Number: 17AC2472
        Asset Tag:
        Part Number: M471A1G44AB0-CWE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</si>
  <si>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HMA81GS6JJR8N-VK NO AD</t>
  </si>
  <si>
    <t>u/Another-Dane</t>
  </si>
  <si>
    <t>﻿﻿﻿﻿7.3.2-86009 Update 3</t>
  </si>
  <si>
    <t>KSM32SED8/16MR</t>
  </si>
  <si>
    <t>SYNOLOGY memtest passed</t>
  </si>
  <si>
    <t>Vinted - used module</t>
  </si>
  <si>
    <t># dmidecode 3.2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06F1
	Serial Number: 06850370
	Asset Tag: Not Specified
	Part Number: M4DE-4GSSPC0M-F     
	Rank: 1
	Configured Memory Speed: 2400 MT/s
	Minimum Voltage: 1.2 V
	Maximum Voltage: 1.2 V
	Configured Voltage: 1.2 V
Handle 0x0020, DMI type 17, 40 bytes
Memory Device
	Array Handle: 0x001E
	Error Information Handle: 0x0023
	Total Width: 72 bits
	Data Width: 64 bits
	Size: 16384 MB
	Form Factor: SODIMM
	Set: None
	Locator: DIMM 0
	Bank Locator: P0 CHANNEL B
	Type: DDR4
	Type Detail: Synchronous Unbuffered (Unregistered)
	Speed: 3200 MT/s
	Manufacturer: Kingston
	Serial Number: 634A0CF9
	Asset Tag: Not Specified
	Part Number: 9965657-053.A00G    
	Rank: 2
	Configured Memory Speed: 2400 MT/s
	Minimum Voltage: 1.2 V
	Maximum Voltage: 1.2 V
	Configured Voltage: 1.2 V</t>
  </si>
  <si>
    <t>u/Patti12</t>
  </si>
  <si>
    <t>passed synology memory test (took a couple of hours)</t>
  </si>
  <si>
    <t>u/Technical-Elk5177</t>
  </si>
  <si>
    <t>The-Netherlands</t>
  </si>
  <si>
    <t>AH.DIRECT via amazon.nl</t>
  </si>
  <si>
    <t>u/aekt24</t>
  </si>
  <si>
    <t>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3200 MT/s
        Manufacturer: 029E
        Serial Number: 00000000
        Asset Tag:
        Part Number: CMSX16GX4M1A3200C22
        Rank: 2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</si>
  <si>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Immediately worked - no memory test or long boot time</t>
  </si>
  <si>
    <t>u/Dandroid94</t>
  </si>
  <si>
    <t>eBay seller: cxar-56</t>
  </si>
  <si>
    <t>7.3.2-86309 Update 3</t>
  </si>
  <si>
    <t>This is on the spreadsheet already I just wanted to back them up</t>
  </si>
  <si>
    <t>u/subject-cabinet3455</t>
  </si>
  <si>
    <t>NewEgg.com</t>
  </si>
  <si>
    <t>M471A2G43BB2-CWE</t>
  </si>
  <si>
    <t xml:space="preserve">Did not boot at first try, reinstalled memory and unplugged NAS, works now. </t>
  </si>
  <si>
    <t>corb06</t>
  </si>
  <si>
    <t>Local "eBay"</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</si>
  <si>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16384 MB
        Form Factor: SODIMM
        Set: None
        Locator: ChannelA-DIMM0
        Bank Locator: BANK 0
        Type: DDR4
        Type Detail: Synchronous Unbuffered (Unregistered)
        Speed: 3200 MT/s
        Manufacturer: Samsung
        Serial Number: 329FF45E
        Asset Tag:
        Part Number: M471A2G43BB2-CWE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</si>
  <si>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CT16G4SFRA32A.16FF1</t>
  </si>
  <si>
    <t>thats_no_moon_4</t>
  </si>
  <si>
    <t>Green PCB, Micron ICs, First boot: 108 seconds</t>
  </si>
  <si>
    <t>u/PrymeFaya</t>
  </si>
  <si>
    <t>After upgrade, Immich container runs smoothly, jobs can be triggered all at once, NAS not freezing, totally recommended</t>
  </si>
  <si>
    <t>Quartereric</t>
  </si>
  <si>
    <t>CT16G4SFRA32A.C16FR</t>
  </si>
  <si>
    <t>works after installing DSM, have few minutes patience for booting up</t>
  </si>
  <si>
    <t>u/ds225+</t>
  </si>
  <si>
    <t>dmicode3.2</t>
  </si>
  <si>
    <t>CT8G4SFRA266.M8FRS</t>
  </si>
  <si>
    <t>u/ClearSugar9107</t>
  </si>
  <si>
    <t>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8192 MB
	Form Factor: SODIMM
	Set: None
	Locator: ChannelA-DIMM0
	Bank Locator: BANK 0
	Type: DDR4
	Type Detail: Synchronous Unbuffered (Unregistered)
	Speed: 2666 MT/s
	Manufacturer: 859B
	Serial Number: E548854D
	Asset Tag:  
	Part Number: CT8G4SFRA266.M8FRS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</si>
  <si>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No boot, constant blue LED without startup.</t>
  </si>
  <si>
    <t xml:space="preserve"> </t>
  </si>
  <si>
    <t>ES/FRA</t>
  </si>
  <si>
    <t>PC Componantes</t>
  </si>
  <si>
    <t>FRA</t>
  </si>
  <si>
    <t>LD4AS016G-B3200GSST</t>
  </si>
  <si>
    <t>AT Computer</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</si>
  <si>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72 bits
        Data Width: 64 bits
        Size: 4096 MB
        Form Factor: SODIMM
        Set: None
        Locator: DIMM 0
        Bank Locator: P0 CHANNEL A
        Type: DDR4
        Type Detail: Synchronous Unbuffered (Unregistered)
        Speed: 3200 MT/s
        Manufacturer: Synology
        Serial Number: 13F20145
        Asset Tag: Not Specified
        Part Number: M4DE-4GSSPC0M-G
        Rank: 1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0A76
        Serial Number: A0C20001
        Asset Tag: Not Specified
        Part Number: LD4S16G32C22ST
        Rank: 1
        Configured Memory Speed: 2400 MT/s
        Minimum Voltage: 1.2 V
        Maximum Voltage: 1.2 V
        Configured Voltage: 1.2 V</t>
  </si>
  <si>
    <t>4GB original &amp; 16GB from third party. 5 days running non-stop without any hickup.</t>
  </si>
  <si>
    <t>www.lazada.co.th</t>
  </si>
  <si>
    <t>M474A4G43AB1-CWEQ</t>
  </si>
  <si>
    <t>Understaker</t>
  </si>
  <si>
    <t>7.2.2-72806 Update 8</t>
  </si>
  <si>
    <t>u/javigme</t>
  </si>
  <si>
    <t>Ebay used</t>
  </si>
  <si>
    <t>M471A5244BB0 - CRC</t>
  </si>
  <si>
    <t>Xegano</t>
  </si>
  <si>
    <t>Marktplaats</t>
  </si>
  <si>
    <t>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2400 MT/s
	Manufacturer: Samsung
	Serial Number: 216C3FF4
	Asset Tag:  
	Part Number: M471A5244BB0-CRC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</si>
  <si>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7.3.2 - 86009</t>
  </si>
  <si>
    <t>SODIMM Crucial 8GB, DDR4, 3200MHz, CL22, 1.2V</t>
  </si>
  <si>
    <t>u/branoaea1</t>
  </si>
  <si>
    <t>CT16G4SFRA32A.C8FB</t>
  </si>
  <si>
    <t>CT16G4SFD832A.C16FP</t>
  </si>
  <si>
    <t>perfect</t>
  </si>
  <si>
    <t>not available</t>
  </si>
  <si>
    <t>G.Skill Ripjaws</t>
  </si>
  <si>
    <t>F4-2666C19D-16GRS</t>
  </si>
  <si>
    <t>Synology Assistant Memory Test confirmed compatibility. Test took ~4 hours</t>
  </si>
  <si>
    <t>u/runhome24</t>
  </si>
  <si>
    <t>The first reboot of NAS took more than 2 minutes before blue led flashing stops</t>
  </si>
  <si>
    <t>@deuren.bsky.social</t>
  </si>
  <si>
    <t>HMA81GS6CJR8N-XN N0 AD</t>
  </si>
  <si>
    <t>V 2106</t>
  </si>
  <si>
    <t>Ok_Run_4270</t>
  </si>
  <si>
    <t xml:space="preserve">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8192 MB
        Form Factor: SODIMM
        Set: None
        Locator: DIMM 0
        Bank Locator: P0 CHANNEL A
        Type: DDR4
        Type Detail: Synchronous Unbuffered (Unregistered)
        Speed: 3200 MT/s
        Manufacturer: Hynix
        Serial Number: 2322831A
        Asset Tag: Not Specified
        Part Number: HMA81GS6CJR8N-XN
        Rank: 1
        Configured Memory Speed: 2400 MT/s
        Minimum Voltage: 1.2 V
        Maximum Voltage: 1.2 V
        Configured Voltage: 1.2 V
Handle 0x0020, DMI type 17, 40 bytes
Memory Device
        Array Handle: 0x001E
        Error Information Handle: 0x0023
        Total Width: 64 bits
        Data Width: 64 bits
        Size: 8192 MB
        Form Factor: SODIMM
        Set: None
        Locator: DIMM 0
        Bank Locator: P0 CHANNEL B
        Type: DDR4
        Type Detail: Synchronous Unbuffered (Unregistered)
        Speed: 3200 MT/s
        Manufacturer: Hynix
        Serial Number: 23229037
        Asset Tag: Not Specified
        Part Number: HMA81GS6CJR8N-XN
        Rank: 1
        Configured Memory Speed: 2400 MT/s
        Minimum Voltage: 1.2 V
        Maximum Voltage: 1.2 V
        Configured Voltage: 1.2 V
</t>
  </si>
  <si>
    <t>CT16G4SFS832A.C8FE</t>
  </si>
  <si>
    <t>u/R-O-O-R-ize</t>
  </si>
  <si>
    <t>Advice</t>
  </si>
  <si>
    <t># dmidecode 3.2
Getting SMBIOS data from sysfs.
SMBIOS 3.1.1 present.
Handle 0x001E, DMI type 16, 23 bytes
Physical Memory Array
	Location: System Board Or Motherboard
	Use: System Memory
	Error Correction Type: None
	Maximum Capacity: 64 GB
	Error Information Handle: 0x0021
	Number Of Devices: 2
Handle 0x001F, DMI type 17, 40 bytes
Memory Device
	Array Handle: 0x001E
	Error Information Handle: 0x0022
	Total Width: 64 bits
	Data Width: 64 bits
	Size: 16384 MB
	Form Factor: SODIMM
	Set: None
	Locator: DIMM 0
	Bank Locator: P0 CHANNEL A
	Type: DDR4
	Type Detail: Synchronous Unbuffered (Unregistered)
	Speed: 3200 MT/s
	Manufacturer: 059B
	Serial Number: --REDACTED--
	Asset Tag: Not Specified
	Part Number: CT16G4SFS832A.C8FE
	Rank: 1
	Configured Memory Speed: 2400 MT/s
	Minimum Voltage: 1.2 V
	Maximum Voltage: 1.2 V
	Configured Voltage: 1.2 V
Handle 0x0020, DMI type 17, 40 bytes
Memory Device
	Array Handle: 0x001E
	Error Information Handle: 0x0023
	Total Width: 64 bits
	Data Width: 64 bits
	Size: 16384 MB
	Form Factor: SODIMM
	Set: None
	Locator: DIMM 0
	Bank Locator: P0 CHANNEL B
	Type: DDR4
	Type Detail: Synchronous Unbuffered (Unregistered)
	Speed: 3200 MT/s
	Manufacturer: 059B
	Serial Number: --REDACTED--
	Asset Tag: Not Specified
	Part Number: CT16G4SFS832A.C8FE
	Rank: 1
	Configured Memory Speed: 2400 MT/s
	Minimum Voltage: 1.2 V
	Maximum Voltage: 1.2 V
	Configured Voltage: 1.2 V</t>
  </si>
  <si>
    <t>u/mustang_0_0</t>
  </si>
  <si>
    <t>Jumbo Computer Supplies</t>
  </si>
  <si>
    <t>7.4-90075</t>
  </si>
  <si>
    <t>CT16G4SFRA32A.M16FE</t>
  </si>
  <si>
    <t>did not boot. only Blue Blinking Power Button LED (BLOD). Tried several times, waited at least 20 mins each time. Boots up fine with stock 2GB RAM only</t>
  </si>
  <si>
    <t>@huckbeat.bsky.social</t>
  </si>
  <si>
    <t>amazon.de seller</t>
  </si>
  <si>
    <t xml:space="preserve">KVR26S19S6/4 </t>
  </si>
  <si>
    <t>u/pratinha</t>
  </si>
  <si>
    <t># dmidecode 3.2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4096 MB
        Form Factor: SODIMM
        Set: None
        Locator: ChannelA-DIMM0
        Bank Locator: BANK 0
        Type: DDR4
        Type Detail: Synchronous Unbuffered (Unregistered)
        Speed: 2666 MT/s
        Manufacturer: Kingston
        Serial Number: C7AD6C81
        Asset Tag:
        Part Number: CBD26D4S9S1KC-4
        Rank: 1
        Configured Memory Speed: 2400 MT/s
        Minimum Voltage: 1.2 V
        Maximum Voltage: 1.2 V
        Configured Voltage: 1.2 V
Handle 0x0022, DMI type 17, 40 bytes
Memory Device
        Array Handle: 0x0020
        Error Information Handle: No Error
        Total Width: 64 bits
        Data Width: 64 bits
        Size: 2048 MB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</si>
  <si>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Boot took a little longer than normal but all OK</t>
  </si>
  <si>
    <t>apu_phone_home</t>
  </si>
  <si>
    <t>CT102464BF160B.C16FPD</t>
  </si>
  <si>
    <t>johansena</t>
  </si>
  <si>
    <t>MT8KTF51264HZ-1G9E2</t>
  </si>
  <si>
    <t>System booted in less than 5 minutes</t>
  </si>
  <si>
    <t>youthofthenation1</t>
  </si>
  <si>
    <t>DS 725+</t>
  </si>
  <si>
    <t>@nandopero</t>
  </si>
  <si>
    <t>RMSA3260ME78HAF</t>
  </si>
  <si>
    <t>After running DMI Decode, interesting to see that the DS225+ board runs at 2400 MT/s.  This means 2400 Mhz ram should work just fine as well. I didn't need to get 2666.</t>
  </si>
  <si>
    <t>u/inkdsky</t>
  </si>
  <si>
    <t># dmidecode 3.7
Getting SMBIOS data from sysfs.
SMBIOS 3.0.1 present.
Handle 0x0020, DMI type 16, 23 bytes
Physical Memory Array
        Location: System Board Or Motherboard
        Use: System Memory
        Error Correction Type: None
        Maximum Capacity: 8 GB
        Error Information Handle: No Error
        Number Of Devices: 2
Handle 0x0021, DMI type 17, 40 bytes
Memory Device
        Array Handle: 0x0020
        Error Information Handle: No Error
        Total Width: 64 bits
        Data Width: 64 bits
        Size: 8 GB
        Form Factor: SODIMM
        Set: None
        Locator: ChannelA-DIMM0
        Bank Locator: BANK 0
        Type: DDR4
        Type Detail: Synchronous Unbuffered (Unregistered)
        Speed: 2666 MT/s
        Manufacturer: 0443
        Serial Number: 13789679
        Asset Tag:
        Part Number: RMSA3260ME78HAF-2666
        Rank: 1
        Configured Memory Speed: 2400 MT/s
        Minimum Voltage: 1.2 V
        Maximum Voltage: 1.2 V
        Configured Voltage: 1.2 V
Handle 0x0022, DMI type 17, 40 bytes
Memory Device
        Array Handle: 0x0020
        Error Information Handle: No Error
        Total Width: 64 bits
        Data Width: 64 bits
        Size: 2 GB
        Form Factor: Row Of Chips
        Set: None
        Locator: ChannelB-DIMM0
        Bank Locator: BANK 1
        Type: DDR4
        Type Detail: Synchronous Unbuffered (Unregistered)
        Speed: 2400 MT/s
        Manufacturer: Synology
        Serial Number: 00000000
        Asset Tag:
        Part Number:
        Rank: 1
        Configured Memory Speed: 2400 MT/s
        Minimum Voltage: 1.2 V
        Maximum Voltage: 1.2 V
        Configured Voltage: 1.2 V</t>
  </si>
  <si>
    <t xml:space="preserve">  7.4-90075</t>
  </si>
  <si>
    <t>Memphis</t>
  </si>
  <si>
    <t>D4SO1G724G-A58HB</t>
  </si>
  <si>
    <t>Sk Hynix chips, works great</t>
  </si>
  <si>
    <t>Aphelion</t>
  </si>
  <si>
    <t>7.3.2-86009 Update 4</t>
  </si>
  <si>
    <t>Updated with ram already installed and working.</t>
  </si>
  <si>
    <t>SK Hynix Memory Module</t>
  </si>
  <si>
    <t>u/Ken-dorf</t>
  </si>
  <si>
    <t>Secondhand</t>
  </si>
  <si>
    <t>Piotr</t>
  </si>
  <si>
    <t>Allergo</t>
  </si>
  <si>
    <t>D4ES02-4G</t>
  </si>
  <si>
    <t>D4ES02-4G module work with stock module D4ES04-4G</t>
  </si>
  <si>
    <t>u/wrong_darkness</t>
  </si>
  <si>
    <t>Memory from DS923+</t>
  </si>
  <si>
    <t xml:space="preserve">root@nas:~# dmidecode -t memory
# dmidecode 3.7
Getting SMBIOS data from sysfs.
SMBIOS 3.1.1 present.
Handle 0x001E, DMI type 16, 23 bytes
Physical Memory Array
	Location: System Board Or Motherboard
	Use: System Memory
	Error Correction Type: Multi-bit ECC
	Maximum Capacity: 64 GB
	Error Information Handle: 0x0021
	Number Of Devices: 2
Handle 0x001F, DMI type 17, 40 bytes
Memory Device
	Array Handle: 0x001E
	Error Information Handle: 0x0022
	Total Width: 72 bits
	Data Width: 64 bits
	Size: 4 GB
	Form Factor: SODIMM
	Set: None
	Locator: DIMM 0
	Bank Locator: P0 CHANNEL A
	Physical Slot Label: DIMM 1
	Type: DDR4
	Type Detail: Synchronous Unbuffered (Unregistered)
	Speed: 3200 MT/s
	Manufacturer: Synology
	Serial Number: 1852009F
	Asset Tag: Not Specified
	Part Number: M4DE-4GSSPC0M-G
	Rank: 1
	Configured Memory Speed: 2400 MT/s
	Minimum Voltage: 1.2 V
	Maximum Voltage: 1.2 V
	Configured Voltage: 1.2 V
Handle 0x0020, DMI type 17, 40 bytes
Memory Device
	Array Handle: 0x001E
	Error Information Handle: 0x0023
	Total Width: 72 bits
	Data Width: 64 bits
	Size: 4 GB
	Form Factor: SODIMM
	Set: None
	Locator: DIMM 0
	Bank Locator: P0 CHANNEL B
	Physical Slot Label: DIMM 2
	Type: DDR4
	Type Detail: Synchronous Unbuffered (Unregistered)
	Speed: 3200 MT/s
	Manufacturer: 06F1
	Serial Number: 182A00A7
	Asset Tag: Not Specified
	Part Number: M4DE-4GSSPC0M-F
	Rank: 1
	Configured Memory Speed: 2400 MT/s
	Minimum Voltage: 1.2 V
	Maximum Voltage: 1.2 V
	Configured Voltage: 1.2 V
root@nas:~# dmesg | grep -i ecc
[    7.477790] EDAC amd64: Node 0: DRAM ECC enabled.
</t>
  </si>
  <si>
    <t>CT16G4SFD8266.C16FD1</t>
  </si>
  <si>
    <t>can't boot, stuck one blue flashing power button light (status and drive LEDs dark)</t>
  </si>
  <si>
    <t>u/UndilahSaya</t>
  </si>
  <si>
    <t>u/Rich_Stixx87</t>
  </si>
  <si>
    <t>OWC2C6D42R8064P</t>
  </si>
  <si>
    <t>No error messages, no warnings, passed 3x memory test, but under load (and we're talking ~7% memory load according to resource monitor), it would sometimes just reboot. nothing under logs either; had to submit a ticket to synology which then examined my deeper logs and noted instability when container manager / dockers were chugging</t>
  </si>
  <si>
    <t>no thanks</t>
  </si>
  <si>
    <t>7.4.1-90080</t>
  </si>
  <si>
    <t>around 5 minutes checking</t>
  </si>
  <si>
    <t>HK</t>
  </si>
  <si>
    <t>Carousell</t>
  </si>
  <si>
    <t>u/AlpacatheGreat</t>
  </si>
  <si>
    <t>M474A1K43DB1-CWEQ ECC</t>
  </si>
  <si>
    <t>CARDLAND</t>
  </si>
  <si>
    <t>TerraMaster</t>
  </si>
  <si>
    <t>A-SRAMD4-16G</t>
  </si>
  <si>
    <t>gora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</si>
</sst>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4">
    <font>
      <sz val="10.0"/>
      <color rgb="FF000000"/>
      <name val="Arial"/>
      <scheme val="minor"/>
    </font>
    <font>
      <b/>
      <color theme="1"/>
      <name val="Arial"/>
      <scheme val="minor"/>
    </font>
    <font>
      <b/>
      <u/>
      <color rgb="FF0000FF"/>
    </font>
    <font>
      <b/>
      <color theme="1"/>
      <name val="Arial"/>
    </font>
    <font>
      <color theme="1"/>
      <name val="Arial"/>
      <scheme val="minor"/>
    </font>
    <font>
      <u/>
      <color rgb="FF0000FF"/>
    </font>
    <font>
      <u/>
      <color rgb="FF0000FF"/>
    </font>
    <font>
      <u/>
      <color rgb="FF0000FF"/>
    </font>
    <font>
      <u/>
      <color rgb="FF0000FF"/>
    </font>
    <font>
      <color rgb="FF000000"/>
      <name val="Arial"/>
    </font>
    <font>
      <u/>
      <color rgb="FF0000FF"/>
    </font>
    <font>
      <u/>
      <color rgb="FF0000FF"/>
    </font>
    <font>
      <u/>
      <color rgb="FF0000FF"/>
    </font>
    <font>
      <u/>
      <color rgb="FF0000FF"/>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3F3F3"/>
        <bgColor rgb="FFF3F3F3"/>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1" numFmtId="0" xfId="0" applyFont="1"/>
    <xf borderId="0" fillId="3" fontId="3" numFmtId="0" xfId="0" applyAlignment="1" applyFill="1" applyFont="1">
      <alignment horizontal="left" readingOrder="0"/>
    </xf>
    <xf borderId="0" fillId="0" fontId="1" numFmtId="0" xfId="0" applyAlignment="1" applyFont="1">
      <alignment shrinkToFit="0" wrapText="0"/>
    </xf>
    <xf borderId="0" fillId="0" fontId="3" numFmtId="0" xfId="0" applyAlignment="1" applyFont="1">
      <alignment horizontal="left" readingOrder="0"/>
    </xf>
    <xf borderId="0" fillId="0" fontId="1" numFmtId="0" xfId="0" applyAlignment="1" applyFont="1">
      <alignment shrinkToFit="0" wrapText="0"/>
    </xf>
    <xf borderId="0" fillId="0" fontId="4" numFmtId="0" xfId="0" applyFont="1"/>
    <xf borderId="0" fillId="4" fontId="1" numFmtId="0" xfId="0" applyAlignment="1" applyFill="1" applyFont="1">
      <alignment readingOrder="0"/>
    </xf>
    <xf borderId="0" fillId="0" fontId="1" numFmtId="0" xfId="0" applyAlignment="1" applyFont="1">
      <alignment readingOrder="0" shrinkToFit="0" wrapText="0"/>
    </xf>
    <xf borderId="0" fillId="4" fontId="1" numFmtId="0" xfId="0" applyFont="1"/>
    <xf borderId="0" fillId="0" fontId="1" numFmtId="0" xfId="0" applyFont="1"/>
    <xf borderId="0" fillId="0" fontId="4" numFmtId="164" xfId="0" applyAlignment="1" applyFont="1" applyNumberFormat="1">
      <alignment readingOrder="0"/>
    </xf>
    <xf borderId="0" fillId="0" fontId="4" numFmtId="0" xfId="0" applyAlignment="1" applyFont="1">
      <alignment readingOrder="0"/>
    </xf>
    <xf borderId="0" fillId="0" fontId="4" numFmtId="0" xfId="0" applyAlignment="1" applyFont="1">
      <alignment shrinkToFit="0" wrapText="0"/>
    </xf>
    <xf borderId="0" fillId="0" fontId="5" numFmtId="0" xfId="0" applyAlignment="1" applyFont="1">
      <alignment readingOrder="0" shrinkToFit="0" wrapText="0"/>
    </xf>
    <xf borderId="0" fillId="0" fontId="4" numFmtId="0" xfId="0" applyAlignment="1" applyFont="1">
      <alignment readingOrder="0" shrinkToFit="0" wrapText="0"/>
    </xf>
    <xf borderId="0" fillId="0" fontId="4" numFmtId="0" xfId="0" applyAlignment="1" applyFont="1">
      <alignment readingOrder="0" shrinkToFit="0" wrapText="0"/>
    </xf>
    <xf borderId="0" fillId="0" fontId="4" numFmtId="0" xfId="0" applyAlignment="1" applyFont="1">
      <alignment readingOrder="0" shrinkToFit="0" wrapText="0"/>
    </xf>
    <xf borderId="0" fillId="0" fontId="4" numFmtId="0" xfId="0" applyFont="1"/>
    <xf borderId="0" fillId="0" fontId="4" numFmtId="0" xfId="0" applyAlignment="1" applyFont="1">
      <alignment shrinkToFit="0" wrapText="0"/>
    </xf>
    <xf borderId="0" fillId="0" fontId="4" numFmtId="0" xfId="0" applyAlignment="1" applyFont="1">
      <alignment shrinkToFit="0" wrapText="0"/>
    </xf>
    <xf borderId="0" fillId="0" fontId="6" numFmtId="0" xfId="0" applyAlignment="1" applyFont="1">
      <alignment readingOrder="0" shrinkToFit="0" wrapText="0"/>
    </xf>
    <xf borderId="0" fillId="0" fontId="4" numFmtId="0" xfId="0" applyAlignment="1" applyFont="1">
      <alignment readingOrder="0"/>
    </xf>
    <xf borderId="0" fillId="0" fontId="7" numFmtId="0" xfId="0" applyAlignment="1" applyFont="1">
      <alignment shrinkToFit="0" wrapText="0"/>
    </xf>
    <xf borderId="0" fillId="0" fontId="4" numFmtId="0" xfId="0" applyAlignment="1" applyFont="1">
      <alignment shrinkToFit="0" wrapText="0"/>
    </xf>
    <xf borderId="0" fillId="0" fontId="4" numFmtId="0" xfId="0" applyFont="1"/>
    <xf borderId="0" fillId="0" fontId="8" numFmtId="0" xfId="0" applyFont="1"/>
    <xf borderId="0" fillId="5" fontId="9" numFmtId="0" xfId="0" applyAlignment="1" applyFill="1" applyFont="1">
      <alignment horizontal="left" readingOrder="0"/>
    </xf>
    <xf quotePrefix="1" borderId="0" fillId="0" fontId="10" numFmtId="0" xfId="0" applyAlignment="1" applyFont="1">
      <alignment readingOrder="0" shrinkToFit="0" wrapText="0"/>
    </xf>
    <xf borderId="0" fillId="0" fontId="4" numFmtId="164" xfId="0" applyAlignment="1" applyFont="1" applyNumberFormat="1">
      <alignment readingOrder="0"/>
    </xf>
    <xf borderId="0" fillId="0" fontId="4" numFmtId="0" xfId="0" applyAlignment="1" applyFont="1">
      <alignment readingOrder="0"/>
    </xf>
    <xf borderId="0" fillId="0" fontId="11"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shrinkToFit="0" wrapText="0"/>
    </xf>
    <xf borderId="0" fillId="0" fontId="12" numFmtId="0" xfId="0" applyAlignment="1" applyFont="1">
      <alignment readingOrder="0" shrinkToFit="0" wrapText="0"/>
    </xf>
    <xf quotePrefix="1" borderId="0" fillId="0" fontId="4" numFmtId="0" xfId="0" applyAlignment="1" applyFont="1">
      <alignment readingOrder="0"/>
    </xf>
    <xf borderId="0" fillId="0" fontId="4" numFmtId="0" xfId="0" applyAlignment="1" applyFont="1">
      <alignment readingOrder="0" shrinkToFit="0" wrapText="0"/>
    </xf>
    <xf borderId="0" fillId="0" fontId="13" numFmtId="0" xfId="0" applyAlignment="1" applyFont="1">
      <alignment readingOrder="0"/>
    </xf>
    <xf borderId="0" fillId="0" fontId="4" numFmtId="0" xfId="0" applyAlignment="1" applyFont="1">
      <alignment readingOrder="0"/>
    </xf>
  </cellXfs>
  <cellStyles count="1">
    <cellStyle xfId="0" name="Normal" builtinId="0"/>
  </cellStyles>
  <dxfs count="7">
    <dxf>
      <font/>
      <fill>
        <patternFill patternType="none"/>
      </fill>
      <border/>
    </dxf>
    <dxf>
      <font/>
      <fill>
        <patternFill patternType="solid">
          <fgColor rgb="FFC9DAF8"/>
          <bgColor rgb="FFC9DAF8"/>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FBBC04"/>
          <bgColor rgb="FFFBBC04"/>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1154"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amazon.com" TargetMode="External"/><Relationship Id="rId194" Type="http://schemas.openxmlformats.org/officeDocument/2006/relationships/hyperlink" Target="http://amazon.com.au" TargetMode="External"/><Relationship Id="rId193" Type="http://schemas.openxmlformats.org/officeDocument/2006/relationships/hyperlink" Target="http://www.ramcity.com.au" TargetMode="External"/><Relationship Id="rId192" Type="http://schemas.openxmlformats.org/officeDocument/2006/relationships/hyperlink" Target="http://amazon.com" TargetMode="External"/><Relationship Id="rId191" Type="http://schemas.openxmlformats.org/officeDocument/2006/relationships/hyperlink" Target="http://amazon.ca/dp/B08C4VKYFG" TargetMode="External"/><Relationship Id="rId187" Type="http://schemas.openxmlformats.org/officeDocument/2006/relationships/hyperlink" Target="http://proshop.dk" TargetMode="External"/><Relationship Id="rId186" Type="http://schemas.openxmlformats.org/officeDocument/2006/relationships/hyperlink" Target="http://amazon.com" TargetMode="External"/><Relationship Id="rId185" Type="http://schemas.openxmlformats.org/officeDocument/2006/relationships/hyperlink" Target="http://amazon.ca" TargetMode="External"/><Relationship Id="rId184" Type="http://schemas.openxmlformats.org/officeDocument/2006/relationships/hyperlink" Target="http://amazon.com" TargetMode="External"/><Relationship Id="rId189" Type="http://schemas.openxmlformats.org/officeDocument/2006/relationships/hyperlink" Target="http://www.kingstonmemoryshop.co.uk" TargetMode="External"/><Relationship Id="rId188" Type="http://schemas.openxmlformats.org/officeDocument/2006/relationships/hyperlink" Target="http://amazon.ca" TargetMode="External"/><Relationship Id="rId183" Type="http://schemas.openxmlformats.org/officeDocument/2006/relationships/hyperlink" Target="http://emag.ro" TargetMode="External"/><Relationship Id="rId182" Type="http://schemas.openxmlformats.org/officeDocument/2006/relationships/hyperlink" Target="http://emag.ro" TargetMode="External"/><Relationship Id="rId181" Type="http://schemas.openxmlformats.org/officeDocument/2006/relationships/hyperlink" Target="http://emag.ro" TargetMode="External"/><Relationship Id="rId180" Type="http://schemas.openxmlformats.org/officeDocument/2006/relationships/hyperlink" Target="http://amazon.com" TargetMode="External"/><Relationship Id="rId176" Type="http://schemas.openxmlformats.org/officeDocument/2006/relationships/hyperlink" Target="http://amazon.co.uk" TargetMode="External"/><Relationship Id="rId297" Type="http://schemas.openxmlformats.org/officeDocument/2006/relationships/hyperlink" Target="http://amazon.sa" TargetMode="External"/><Relationship Id="rId175" Type="http://schemas.openxmlformats.org/officeDocument/2006/relationships/hyperlink" Target="http://amazon.com" TargetMode="External"/><Relationship Id="rId296" Type="http://schemas.openxmlformats.org/officeDocument/2006/relationships/hyperlink" Target="http://amazon.sa" TargetMode="External"/><Relationship Id="rId174" Type="http://schemas.openxmlformats.org/officeDocument/2006/relationships/hyperlink" Target="http://amazon.com" TargetMode="External"/><Relationship Id="rId295" Type="http://schemas.openxmlformats.org/officeDocument/2006/relationships/hyperlink" Target="http://amazon.com" TargetMode="External"/><Relationship Id="rId173" Type="http://schemas.openxmlformats.org/officeDocument/2006/relationships/hyperlink" Target="http://ebay.com" TargetMode="External"/><Relationship Id="rId294" Type="http://schemas.openxmlformats.org/officeDocument/2006/relationships/hyperlink" Target="http://amazon.es" TargetMode="External"/><Relationship Id="rId179" Type="http://schemas.openxmlformats.org/officeDocument/2006/relationships/hyperlink" Target="http://czone.my" TargetMode="External"/><Relationship Id="rId178" Type="http://schemas.openxmlformats.org/officeDocument/2006/relationships/hyperlink" Target="http://amazon.ca" TargetMode="External"/><Relationship Id="rId299" Type="http://schemas.openxmlformats.org/officeDocument/2006/relationships/hyperlink" Target="http://amazon.com" TargetMode="External"/><Relationship Id="rId177" Type="http://schemas.openxmlformats.org/officeDocument/2006/relationships/hyperlink" Target="http://amazon.ca" TargetMode="External"/><Relationship Id="rId298" Type="http://schemas.openxmlformats.org/officeDocument/2006/relationships/hyperlink" Target="http://amazon.se" TargetMode="External"/><Relationship Id="rId198" Type="http://schemas.openxmlformats.org/officeDocument/2006/relationships/hyperlink" Target="http://amazon.com.be" TargetMode="External"/><Relationship Id="rId197" Type="http://schemas.openxmlformats.org/officeDocument/2006/relationships/hyperlink" Target="http://amazon.com" TargetMode="External"/><Relationship Id="rId196" Type="http://schemas.openxmlformats.org/officeDocument/2006/relationships/hyperlink" Target="http://amazon.com" TargetMode="External"/><Relationship Id="rId195" Type="http://schemas.openxmlformats.org/officeDocument/2006/relationships/hyperlink" Target="https://www.amac.nl" TargetMode="External"/><Relationship Id="rId199" Type="http://schemas.openxmlformats.org/officeDocument/2006/relationships/hyperlink" Target="https://www.amazon.com/dp/B08T17RQ87?ref=ppx_yo2ov_dt_b_product_details&amp;th=1" TargetMode="External"/><Relationship Id="rId150" Type="http://schemas.openxmlformats.org/officeDocument/2006/relationships/hyperlink" Target="http://amazon.it" TargetMode="External"/><Relationship Id="rId271" Type="http://schemas.openxmlformats.org/officeDocument/2006/relationships/hyperlink" Target="http://amazon.com" TargetMode="External"/><Relationship Id="rId392" Type="http://schemas.openxmlformats.org/officeDocument/2006/relationships/hyperlink" Target="http://amazon.co.uk" TargetMode="External"/><Relationship Id="rId270" Type="http://schemas.openxmlformats.org/officeDocument/2006/relationships/hyperlink" Target="http://amazon.es" TargetMode="External"/><Relationship Id="rId391" Type="http://schemas.openxmlformats.org/officeDocument/2006/relationships/hyperlink" Target="http://mironet.cz" TargetMode="External"/><Relationship Id="rId390" Type="http://schemas.openxmlformats.org/officeDocument/2006/relationships/hyperlink" Target="http://amazon.fr" TargetMode="External"/><Relationship Id="rId1" Type="http://schemas.openxmlformats.org/officeDocument/2006/relationships/comments" Target="../comments1.xml"/><Relationship Id="rId2" Type="http://schemas.openxmlformats.org/officeDocument/2006/relationships/hyperlink" Target="http://www.ballicom.co.uk/" TargetMode="External"/><Relationship Id="rId3" Type="http://schemas.openxmlformats.org/officeDocument/2006/relationships/hyperlink" Target="http://amazon.com" TargetMode="External"/><Relationship Id="rId149" Type="http://schemas.openxmlformats.org/officeDocument/2006/relationships/hyperlink" Target="http://amazon.com" TargetMode="External"/><Relationship Id="rId4" Type="http://schemas.openxmlformats.org/officeDocument/2006/relationships/hyperlink" Target="http://amazon.com" TargetMode="External"/><Relationship Id="rId148" Type="http://schemas.openxmlformats.org/officeDocument/2006/relationships/hyperlink" Target="http://amazon.com" TargetMode="External"/><Relationship Id="rId269" Type="http://schemas.openxmlformats.org/officeDocument/2006/relationships/hyperlink" Target="http://amazon.es" TargetMode="External"/><Relationship Id="rId9" Type="http://schemas.openxmlformats.org/officeDocument/2006/relationships/hyperlink" Target="http://crucial.com" TargetMode="External"/><Relationship Id="rId143" Type="http://schemas.openxmlformats.org/officeDocument/2006/relationships/hyperlink" Target="http://amazon.com" TargetMode="External"/><Relationship Id="rId264" Type="http://schemas.openxmlformats.org/officeDocument/2006/relationships/hyperlink" Target="http://amazon.com" TargetMode="External"/><Relationship Id="rId385" Type="http://schemas.openxmlformats.org/officeDocument/2006/relationships/hyperlink" Target="http://www.jw.com.au" TargetMode="External"/><Relationship Id="rId142" Type="http://schemas.openxmlformats.org/officeDocument/2006/relationships/hyperlink" Target="https://eu.crucial.com/" TargetMode="External"/><Relationship Id="rId263" Type="http://schemas.openxmlformats.org/officeDocument/2006/relationships/hyperlink" Target="http://amazon.com" TargetMode="External"/><Relationship Id="rId384" Type="http://schemas.openxmlformats.org/officeDocument/2006/relationships/hyperlink" Target="http://amazon.com" TargetMode="External"/><Relationship Id="rId141" Type="http://schemas.openxmlformats.org/officeDocument/2006/relationships/hyperlink" Target="http://amazon.com" TargetMode="External"/><Relationship Id="rId262" Type="http://schemas.openxmlformats.org/officeDocument/2006/relationships/hyperlink" Target="http://ebay.com" TargetMode="External"/><Relationship Id="rId383" Type="http://schemas.openxmlformats.org/officeDocument/2006/relationships/hyperlink" Target="http://amazon.com" TargetMode="External"/><Relationship Id="rId140" Type="http://schemas.openxmlformats.org/officeDocument/2006/relationships/hyperlink" Target="http://tradeinn.com" TargetMode="External"/><Relationship Id="rId261" Type="http://schemas.openxmlformats.org/officeDocument/2006/relationships/hyperlink" Target="http://amazon.com" TargetMode="External"/><Relationship Id="rId382" Type="http://schemas.openxmlformats.org/officeDocument/2006/relationships/hyperlink" Target="http://amazon.com" TargetMode="External"/><Relationship Id="rId5" Type="http://schemas.openxmlformats.org/officeDocument/2006/relationships/hyperlink" Target="http://archmemory.com" TargetMode="External"/><Relationship Id="rId147" Type="http://schemas.openxmlformats.org/officeDocument/2006/relationships/hyperlink" Target="http://crucial.com" TargetMode="External"/><Relationship Id="rId268" Type="http://schemas.openxmlformats.org/officeDocument/2006/relationships/hyperlink" Target="http://amazon.es" TargetMode="External"/><Relationship Id="rId389" Type="http://schemas.openxmlformats.org/officeDocument/2006/relationships/hyperlink" Target="http://tiraet.com" TargetMode="External"/><Relationship Id="rId6" Type="http://schemas.openxmlformats.org/officeDocument/2006/relationships/hyperlink" Target="https://archmemory.com" TargetMode="External"/><Relationship Id="rId146" Type="http://schemas.openxmlformats.org/officeDocument/2006/relationships/hyperlink" Target="http://amazon.it" TargetMode="External"/><Relationship Id="rId267" Type="http://schemas.openxmlformats.org/officeDocument/2006/relationships/hyperlink" Target="http://newegg.com" TargetMode="External"/><Relationship Id="rId388" Type="http://schemas.openxmlformats.org/officeDocument/2006/relationships/hyperlink" Target="http://amazon.com.au/" TargetMode="External"/><Relationship Id="rId7" Type="http://schemas.openxmlformats.org/officeDocument/2006/relationships/hyperlink" Target="http://shop.crucial.de" TargetMode="External"/><Relationship Id="rId145" Type="http://schemas.openxmlformats.org/officeDocument/2006/relationships/hyperlink" Target="http://amazon.ca" TargetMode="External"/><Relationship Id="rId266" Type="http://schemas.openxmlformats.org/officeDocument/2006/relationships/hyperlink" Target="http://amazon.com" TargetMode="External"/><Relationship Id="rId387" Type="http://schemas.openxmlformats.org/officeDocument/2006/relationships/hyperlink" Target="http://amazon.com.be" TargetMode="External"/><Relationship Id="rId8" Type="http://schemas.openxmlformats.org/officeDocument/2006/relationships/hyperlink" Target="http://newegg.com" TargetMode="External"/><Relationship Id="rId144" Type="http://schemas.openxmlformats.org/officeDocument/2006/relationships/hyperlink" Target="http://amazon.com" TargetMode="External"/><Relationship Id="rId265" Type="http://schemas.openxmlformats.org/officeDocument/2006/relationships/hyperlink" Target="http://amazon.com" TargetMode="External"/><Relationship Id="rId386" Type="http://schemas.openxmlformats.org/officeDocument/2006/relationships/hyperlink" Target="http://amazon.com.au" TargetMode="External"/><Relationship Id="rId260" Type="http://schemas.openxmlformats.org/officeDocument/2006/relationships/hyperlink" Target="http://amazon.com" TargetMode="External"/><Relationship Id="rId381" Type="http://schemas.openxmlformats.org/officeDocument/2006/relationships/hyperlink" Target="http://amazon.ca" TargetMode="External"/><Relationship Id="rId380" Type="http://schemas.openxmlformats.org/officeDocument/2006/relationships/hyperlink" Target="http://aliexpress.com" TargetMode="External"/><Relationship Id="rId139" Type="http://schemas.openxmlformats.org/officeDocument/2006/relationships/hyperlink" Target="http://datagate.ee" TargetMode="External"/><Relationship Id="rId138" Type="http://schemas.openxmlformats.org/officeDocument/2006/relationships/hyperlink" Target="http://amazon.com" TargetMode="External"/><Relationship Id="rId259" Type="http://schemas.openxmlformats.org/officeDocument/2006/relationships/hyperlink" Target="http://reddit.com/user/1ron_giant/" TargetMode="External"/><Relationship Id="rId137" Type="http://schemas.openxmlformats.org/officeDocument/2006/relationships/hyperlink" Target="https://redgaming.it/" TargetMode="External"/><Relationship Id="rId258" Type="http://schemas.openxmlformats.org/officeDocument/2006/relationships/hyperlink" Target="http://alternate.de" TargetMode="External"/><Relationship Id="rId379" Type="http://schemas.openxmlformats.org/officeDocument/2006/relationships/hyperlink" Target="http://amazon.com" TargetMode="External"/><Relationship Id="rId132" Type="http://schemas.openxmlformats.org/officeDocument/2006/relationships/hyperlink" Target="http://azerty.nl" TargetMode="External"/><Relationship Id="rId253" Type="http://schemas.openxmlformats.org/officeDocument/2006/relationships/hyperlink" Target="http://amazon.ca" TargetMode="External"/><Relationship Id="rId374" Type="http://schemas.openxmlformats.org/officeDocument/2006/relationships/hyperlink" Target="http://amazon.ca/" TargetMode="External"/><Relationship Id="rId495" Type="http://schemas.openxmlformats.org/officeDocument/2006/relationships/hyperlink" Target="http://bol.com" TargetMode="External"/><Relationship Id="rId131" Type="http://schemas.openxmlformats.org/officeDocument/2006/relationships/hyperlink" Target="http://amazon.nl" TargetMode="External"/><Relationship Id="rId252" Type="http://schemas.openxmlformats.org/officeDocument/2006/relationships/hyperlink" Target="http://amazon.de" TargetMode="External"/><Relationship Id="rId373" Type="http://schemas.openxmlformats.org/officeDocument/2006/relationships/hyperlink" Target="http://amazon.com" TargetMode="External"/><Relationship Id="rId494" Type="http://schemas.openxmlformats.org/officeDocument/2006/relationships/hyperlink" Target="http://amazon.com" TargetMode="External"/><Relationship Id="rId130" Type="http://schemas.openxmlformats.org/officeDocument/2006/relationships/hyperlink" Target="http://amazon.de" TargetMode="External"/><Relationship Id="rId251" Type="http://schemas.openxmlformats.org/officeDocument/2006/relationships/hyperlink" Target="http://amazon.it" TargetMode="External"/><Relationship Id="rId372" Type="http://schemas.openxmlformats.org/officeDocument/2006/relationships/hyperlink" Target="http://allegro.pl/" TargetMode="External"/><Relationship Id="rId493" Type="http://schemas.openxmlformats.org/officeDocument/2006/relationships/hyperlink" Target="http://amazon.com" TargetMode="External"/><Relationship Id="rId250" Type="http://schemas.openxmlformats.org/officeDocument/2006/relationships/hyperlink" Target="http://amazon.com" TargetMode="External"/><Relationship Id="rId371" Type="http://schemas.openxmlformats.org/officeDocument/2006/relationships/hyperlink" Target="http://amazon.ca" TargetMode="External"/><Relationship Id="rId492" Type="http://schemas.openxmlformats.org/officeDocument/2006/relationships/hyperlink" Target="http://ebay.de" TargetMode="External"/><Relationship Id="rId136" Type="http://schemas.openxmlformats.org/officeDocument/2006/relationships/hyperlink" Target="http://firstshop.hu" TargetMode="External"/><Relationship Id="rId257" Type="http://schemas.openxmlformats.org/officeDocument/2006/relationships/hyperlink" Target="http://amazon.com" TargetMode="External"/><Relationship Id="rId378" Type="http://schemas.openxmlformats.org/officeDocument/2006/relationships/hyperlink" Target="http://amazon.com" TargetMode="External"/><Relationship Id="rId135" Type="http://schemas.openxmlformats.org/officeDocument/2006/relationships/hyperlink" Target="http://firstshop.hu" TargetMode="External"/><Relationship Id="rId256" Type="http://schemas.openxmlformats.org/officeDocument/2006/relationships/hyperlink" Target="http://amazon.com" TargetMode="External"/><Relationship Id="rId377" Type="http://schemas.openxmlformats.org/officeDocument/2006/relationships/hyperlink" Target="http://amazon.co.uk/" TargetMode="External"/><Relationship Id="rId498" Type="http://schemas.openxmlformats.org/officeDocument/2006/relationships/vmlDrawing" Target="../drawings/vmlDrawing1.vml"/><Relationship Id="rId134" Type="http://schemas.openxmlformats.org/officeDocument/2006/relationships/hyperlink" Target="http://amazon.fr" TargetMode="External"/><Relationship Id="rId255" Type="http://schemas.openxmlformats.org/officeDocument/2006/relationships/hyperlink" Target="http://www.informatique.nl" TargetMode="External"/><Relationship Id="rId376" Type="http://schemas.openxmlformats.org/officeDocument/2006/relationships/hyperlink" Target="http://amazon.co.uk/" TargetMode="External"/><Relationship Id="rId497" Type="http://schemas.openxmlformats.org/officeDocument/2006/relationships/drawing" Target="../drawings/drawing1.xml"/><Relationship Id="rId133" Type="http://schemas.openxmlformats.org/officeDocument/2006/relationships/hyperlink" Target="http://firstshop.hu" TargetMode="External"/><Relationship Id="rId254" Type="http://schemas.openxmlformats.org/officeDocument/2006/relationships/hyperlink" Target="http://amazon.co.uk" TargetMode="External"/><Relationship Id="rId375" Type="http://schemas.openxmlformats.org/officeDocument/2006/relationships/hyperlink" Target="http://amazon.it" TargetMode="External"/><Relationship Id="rId496" Type="http://schemas.openxmlformats.org/officeDocument/2006/relationships/hyperlink" Target="http://amazon.com" TargetMode="External"/><Relationship Id="rId172" Type="http://schemas.openxmlformats.org/officeDocument/2006/relationships/hyperlink" Target="http://amazon.com.au" TargetMode="External"/><Relationship Id="rId293" Type="http://schemas.openxmlformats.org/officeDocument/2006/relationships/hyperlink" Target="http://morele.net" TargetMode="External"/><Relationship Id="rId171" Type="http://schemas.openxmlformats.org/officeDocument/2006/relationships/hyperlink" Target="http://amazon.es" TargetMode="External"/><Relationship Id="rId292" Type="http://schemas.openxmlformats.org/officeDocument/2006/relationships/hyperlink" Target="http://alza.sk" TargetMode="External"/><Relationship Id="rId170" Type="http://schemas.openxmlformats.org/officeDocument/2006/relationships/hyperlink" Target="http://amazon.ca" TargetMode="External"/><Relationship Id="rId291" Type="http://schemas.openxmlformats.org/officeDocument/2006/relationships/hyperlink" Target="http://amazon.com" TargetMode="External"/><Relationship Id="rId290" Type="http://schemas.openxmlformats.org/officeDocument/2006/relationships/hyperlink" Target="http://coolblue.de" TargetMode="External"/><Relationship Id="rId165" Type="http://schemas.openxmlformats.org/officeDocument/2006/relationships/hyperlink" Target="http://www.pcx.hu" TargetMode="External"/><Relationship Id="rId286" Type="http://schemas.openxmlformats.org/officeDocument/2006/relationships/hyperlink" Target="http://newegg.com" TargetMode="External"/><Relationship Id="rId164" Type="http://schemas.openxmlformats.org/officeDocument/2006/relationships/hyperlink" Target="http://onlinetrade.ru" TargetMode="External"/><Relationship Id="rId285" Type="http://schemas.openxmlformats.org/officeDocument/2006/relationships/hyperlink" Target="http://amazon.de" TargetMode="External"/><Relationship Id="rId163" Type="http://schemas.openxmlformats.org/officeDocument/2006/relationships/hyperlink" Target="http://office-partner.de" TargetMode="External"/><Relationship Id="rId284" Type="http://schemas.openxmlformats.org/officeDocument/2006/relationships/hyperlink" Target="http://amazon.fr" TargetMode="External"/><Relationship Id="rId162" Type="http://schemas.openxmlformats.org/officeDocument/2006/relationships/hyperlink" Target="http://amazon.com" TargetMode="External"/><Relationship Id="rId283" Type="http://schemas.openxmlformats.org/officeDocument/2006/relationships/hyperlink" Target="http://amazon.com.au" TargetMode="External"/><Relationship Id="rId169" Type="http://schemas.openxmlformats.org/officeDocument/2006/relationships/hyperlink" Target="http://amazon.com" TargetMode="External"/><Relationship Id="rId168" Type="http://schemas.openxmlformats.org/officeDocument/2006/relationships/hyperlink" Target="http://amazon.de" TargetMode="External"/><Relationship Id="rId289" Type="http://schemas.openxmlformats.org/officeDocument/2006/relationships/hyperlink" Target="http://reichelt.de" TargetMode="External"/><Relationship Id="rId167" Type="http://schemas.openxmlformats.org/officeDocument/2006/relationships/hyperlink" Target="http://alza.hu" TargetMode="External"/><Relationship Id="rId288" Type="http://schemas.openxmlformats.org/officeDocument/2006/relationships/hyperlink" Target="http://amazon.de" TargetMode="External"/><Relationship Id="rId166" Type="http://schemas.openxmlformats.org/officeDocument/2006/relationships/hyperlink" Target="http://amazon.de" TargetMode="External"/><Relationship Id="rId287" Type="http://schemas.openxmlformats.org/officeDocument/2006/relationships/hyperlink" Target="http://newegg.com" TargetMode="External"/><Relationship Id="rId161" Type="http://schemas.openxmlformats.org/officeDocument/2006/relationships/hyperlink" Target="http://amazon.co.uk" TargetMode="External"/><Relationship Id="rId282" Type="http://schemas.openxmlformats.org/officeDocument/2006/relationships/hyperlink" Target="http://amazon.pl" TargetMode="External"/><Relationship Id="rId160" Type="http://schemas.openxmlformats.org/officeDocument/2006/relationships/hyperlink" Target="http://crucial.com" TargetMode="External"/><Relationship Id="rId281" Type="http://schemas.openxmlformats.org/officeDocument/2006/relationships/hyperlink" Target="http://amazon.es" TargetMode="External"/><Relationship Id="rId280" Type="http://schemas.openxmlformats.org/officeDocument/2006/relationships/hyperlink" Target="http://www.kingstonmemoryshop.co.uk" TargetMode="External"/><Relationship Id="rId159" Type="http://schemas.openxmlformats.org/officeDocument/2006/relationships/hyperlink" Target="http://newegg.com" TargetMode="External"/><Relationship Id="rId154" Type="http://schemas.openxmlformats.org/officeDocument/2006/relationships/hyperlink" Target="https://www.amazon.co.uk/dp/B0846JXS5N" TargetMode="External"/><Relationship Id="rId275" Type="http://schemas.openxmlformats.org/officeDocument/2006/relationships/hyperlink" Target="http://amazon.it" TargetMode="External"/><Relationship Id="rId396" Type="http://schemas.openxmlformats.org/officeDocument/2006/relationships/hyperlink" Target="http://ldlc.com" TargetMode="External"/><Relationship Id="rId153" Type="http://schemas.openxmlformats.org/officeDocument/2006/relationships/hyperlink" Target="http://amazon.com" TargetMode="External"/><Relationship Id="rId274" Type="http://schemas.openxmlformats.org/officeDocument/2006/relationships/hyperlink" Target="http://tokopedia.com" TargetMode="External"/><Relationship Id="rId395" Type="http://schemas.openxmlformats.org/officeDocument/2006/relationships/hyperlink" Target="http://amazon.com" TargetMode="External"/><Relationship Id="rId152" Type="http://schemas.openxmlformats.org/officeDocument/2006/relationships/hyperlink" Target="http://amazon.com" TargetMode="External"/><Relationship Id="rId273" Type="http://schemas.openxmlformats.org/officeDocument/2006/relationships/hyperlink" Target="http://morele.net" TargetMode="External"/><Relationship Id="rId394" Type="http://schemas.openxmlformats.org/officeDocument/2006/relationships/hyperlink" Target="http://amazon.ca" TargetMode="External"/><Relationship Id="rId151" Type="http://schemas.openxmlformats.org/officeDocument/2006/relationships/hyperlink" Target="http://alternate.nl" TargetMode="External"/><Relationship Id="rId272" Type="http://schemas.openxmlformats.org/officeDocument/2006/relationships/hyperlink" Target="http://kingstonmemoryshop.co.uk" TargetMode="External"/><Relationship Id="rId393" Type="http://schemas.openxmlformats.org/officeDocument/2006/relationships/hyperlink" Target="http://ebay.de" TargetMode="External"/><Relationship Id="rId158" Type="http://schemas.openxmlformats.org/officeDocument/2006/relationships/hyperlink" Target="http://senetic.ro" TargetMode="External"/><Relationship Id="rId279" Type="http://schemas.openxmlformats.org/officeDocument/2006/relationships/hyperlink" Target="http://amazon.com" TargetMode="External"/><Relationship Id="rId157" Type="http://schemas.openxmlformats.org/officeDocument/2006/relationships/hyperlink" Target="http://amazon.com" TargetMode="External"/><Relationship Id="rId278" Type="http://schemas.openxmlformats.org/officeDocument/2006/relationships/hyperlink" Target="http://amazon.es" TargetMode="External"/><Relationship Id="rId399" Type="http://schemas.openxmlformats.org/officeDocument/2006/relationships/hyperlink" Target="http://amazon.fr" TargetMode="External"/><Relationship Id="rId156" Type="http://schemas.openxmlformats.org/officeDocument/2006/relationships/hyperlink" Target="http://amazon.de" TargetMode="External"/><Relationship Id="rId277" Type="http://schemas.openxmlformats.org/officeDocument/2006/relationships/hyperlink" Target="http://amazon.com" TargetMode="External"/><Relationship Id="rId398" Type="http://schemas.openxmlformats.org/officeDocument/2006/relationships/hyperlink" Target="http://amazon.de" TargetMode="External"/><Relationship Id="rId155" Type="http://schemas.openxmlformats.org/officeDocument/2006/relationships/hyperlink" Target="http://amazon.com" TargetMode="External"/><Relationship Id="rId276" Type="http://schemas.openxmlformats.org/officeDocument/2006/relationships/hyperlink" Target="http://amazon.de" TargetMode="External"/><Relationship Id="rId397" Type="http://schemas.openxmlformats.org/officeDocument/2006/relationships/hyperlink" Target="http://amazon.se" TargetMode="External"/><Relationship Id="rId40" Type="http://schemas.openxmlformats.org/officeDocument/2006/relationships/hyperlink" Target="http://amazon.com" TargetMode="External"/><Relationship Id="rId42" Type="http://schemas.openxmlformats.org/officeDocument/2006/relationships/hyperlink" Target="http://amazon.com" TargetMode="External"/><Relationship Id="rId41" Type="http://schemas.openxmlformats.org/officeDocument/2006/relationships/hyperlink" Target="http://alternate.de" TargetMode="External"/><Relationship Id="rId44" Type="http://schemas.openxmlformats.org/officeDocument/2006/relationships/hyperlink" Target="http://amazon.de" TargetMode="External"/><Relationship Id="rId43" Type="http://schemas.openxmlformats.org/officeDocument/2006/relationships/hyperlink" Target="http://amazon.com" TargetMode="External"/><Relationship Id="rId46" Type="http://schemas.openxmlformats.org/officeDocument/2006/relationships/hyperlink" Target="http://amazon.com" TargetMode="External"/><Relationship Id="rId45" Type="http://schemas.openxmlformats.org/officeDocument/2006/relationships/hyperlink" Target="http://amazon.fr" TargetMode="External"/><Relationship Id="rId500" Type="http://schemas.openxmlformats.org/officeDocument/2006/relationships/table" Target="../tables/table1.xml"/><Relationship Id="rId48" Type="http://schemas.openxmlformats.org/officeDocument/2006/relationships/hyperlink" Target="http://amazon.it" TargetMode="External"/><Relationship Id="rId47" Type="http://schemas.openxmlformats.org/officeDocument/2006/relationships/hyperlink" Target="http://amazon.it" TargetMode="External"/><Relationship Id="rId49" Type="http://schemas.openxmlformats.org/officeDocument/2006/relationships/hyperlink" Target="http://chiptec.net" TargetMode="External"/><Relationship Id="rId31" Type="http://schemas.openxmlformats.org/officeDocument/2006/relationships/hyperlink" Target="http://amazon.fr" TargetMode="External"/><Relationship Id="rId30" Type="http://schemas.openxmlformats.org/officeDocument/2006/relationships/hyperlink" Target="http://computersalg.se" TargetMode="External"/><Relationship Id="rId33" Type="http://schemas.openxmlformats.org/officeDocument/2006/relationships/hyperlink" Target="http://amazon.co.uk" TargetMode="External"/><Relationship Id="rId32" Type="http://schemas.openxmlformats.org/officeDocument/2006/relationships/hyperlink" Target="http://amazon.de" TargetMode="External"/><Relationship Id="rId35" Type="http://schemas.openxmlformats.org/officeDocument/2006/relationships/hyperlink" Target="http://www.ballicom.co.uk/" TargetMode="External"/><Relationship Id="rId34" Type="http://schemas.openxmlformats.org/officeDocument/2006/relationships/hyperlink" Target="http://amazon.de" TargetMode="External"/><Relationship Id="rId37" Type="http://schemas.openxmlformats.org/officeDocument/2006/relationships/hyperlink" Target="http://www.ballicom.co.uk/" TargetMode="External"/><Relationship Id="rId36" Type="http://schemas.openxmlformats.org/officeDocument/2006/relationships/hyperlink" Target="http://proshop.dk" TargetMode="External"/><Relationship Id="rId39" Type="http://schemas.openxmlformats.org/officeDocument/2006/relationships/hyperlink" Target="http://amazon.fr" TargetMode="External"/><Relationship Id="rId38" Type="http://schemas.openxmlformats.org/officeDocument/2006/relationships/hyperlink" Target="https://www.amazon.com/dp/B0899KV2L5" TargetMode="External"/><Relationship Id="rId20" Type="http://schemas.openxmlformats.org/officeDocument/2006/relationships/hyperlink" Target="http://amazon.com" TargetMode="External"/><Relationship Id="rId22" Type="http://schemas.openxmlformats.org/officeDocument/2006/relationships/hyperlink" Target="http://amazon.com" TargetMode="External"/><Relationship Id="rId21" Type="http://schemas.openxmlformats.org/officeDocument/2006/relationships/hyperlink" Target="http://amazon.fr" TargetMode="External"/><Relationship Id="rId24" Type="http://schemas.openxmlformats.org/officeDocument/2006/relationships/hyperlink" Target="http://amazon.fr" TargetMode="External"/><Relationship Id="rId23" Type="http://schemas.openxmlformats.org/officeDocument/2006/relationships/hyperlink" Target="http://amazon.com" TargetMode="External"/><Relationship Id="rId409" Type="http://schemas.openxmlformats.org/officeDocument/2006/relationships/hyperlink" Target="http://amazon.ca" TargetMode="External"/><Relationship Id="rId404" Type="http://schemas.openxmlformats.org/officeDocument/2006/relationships/hyperlink" Target="http://amazon.de" TargetMode="External"/><Relationship Id="rId403" Type="http://schemas.openxmlformats.org/officeDocument/2006/relationships/hyperlink" Target="http://amazon.fr" TargetMode="External"/><Relationship Id="rId402" Type="http://schemas.openxmlformats.org/officeDocument/2006/relationships/hyperlink" Target="http://amazon.com.mx" TargetMode="External"/><Relationship Id="rId401" Type="http://schemas.openxmlformats.org/officeDocument/2006/relationships/hyperlink" Target="http://amazon.com" TargetMode="External"/><Relationship Id="rId408" Type="http://schemas.openxmlformats.org/officeDocument/2006/relationships/hyperlink" Target="http://ramcity.com" TargetMode="External"/><Relationship Id="rId407" Type="http://schemas.openxmlformats.org/officeDocument/2006/relationships/hyperlink" Target="http://amazon.co.uk" TargetMode="External"/><Relationship Id="rId406" Type="http://schemas.openxmlformats.org/officeDocument/2006/relationships/hyperlink" Target="http://amazon.com" TargetMode="External"/><Relationship Id="rId405" Type="http://schemas.openxmlformats.org/officeDocument/2006/relationships/hyperlink" Target="http://newegg.com" TargetMode="External"/><Relationship Id="rId26" Type="http://schemas.openxmlformats.org/officeDocument/2006/relationships/hyperlink" Target="http://ebay.com.au" TargetMode="External"/><Relationship Id="rId25" Type="http://schemas.openxmlformats.org/officeDocument/2006/relationships/hyperlink" Target="http://amazon.com" TargetMode="External"/><Relationship Id="rId28" Type="http://schemas.openxmlformats.org/officeDocument/2006/relationships/hyperlink" Target="http://amazon.de" TargetMode="External"/><Relationship Id="rId27" Type="http://schemas.openxmlformats.org/officeDocument/2006/relationships/hyperlink" Target="http://kabum.com.br" TargetMode="External"/><Relationship Id="rId400" Type="http://schemas.openxmlformats.org/officeDocument/2006/relationships/hyperlink" Target="http://amazon.de" TargetMode="External"/><Relationship Id="rId29" Type="http://schemas.openxmlformats.org/officeDocument/2006/relationships/hyperlink" Target="http://amazon.ca" TargetMode="External"/><Relationship Id="rId11" Type="http://schemas.openxmlformats.org/officeDocument/2006/relationships/hyperlink" Target="http://amazon.de" TargetMode="External"/><Relationship Id="rId10" Type="http://schemas.openxmlformats.org/officeDocument/2006/relationships/hyperlink" Target="http://amazon.com" TargetMode="External"/><Relationship Id="rId13" Type="http://schemas.openxmlformats.org/officeDocument/2006/relationships/hyperlink" Target="http://amazon.ca" TargetMode="External"/><Relationship Id="rId12" Type="http://schemas.openxmlformats.org/officeDocument/2006/relationships/hyperlink" Target="http://amazon.com" TargetMode="External"/><Relationship Id="rId15" Type="http://schemas.openxmlformats.org/officeDocument/2006/relationships/hyperlink" Target="http://amazon.com" TargetMode="External"/><Relationship Id="rId14" Type="http://schemas.openxmlformats.org/officeDocument/2006/relationships/hyperlink" Target="https://www.coolblue.nl/product/874268" TargetMode="External"/><Relationship Id="rId17" Type="http://schemas.openxmlformats.org/officeDocument/2006/relationships/hyperlink" Target="http://amazon.com" TargetMode="External"/><Relationship Id="rId16" Type="http://schemas.openxmlformats.org/officeDocument/2006/relationships/hyperlink" Target="https://www.amazon.sg/dp/B07BBQG6FR?psc=1&amp;ref=ppx_yo2ov_dt_b_product_details" TargetMode="External"/><Relationship Id="rId19" Type="http://schemas.openxmlformats.org/officeDocument/2006/relationships/hyperlink" Target="http://amazon.com" TargetMode="External"/><Relationship Id="rId18" Type="http://schemas.openxmlformats.org/officeDocument/2006/relationships/hyperlink" Target="http://alternate.de" TargetMode="External"/><Relationship Id="rId84" Type="http://schemas.openxmlformats.org/officeDocument/2006/relationships/hyperlink" Target="http://amazon.com.be" TargetMode="External"/><Relationship Id="rId83" Type="http://schemas.openxmlformats.org/officeDocument/2006/relationships/hyperlink" Target="http://amazon.com.be" TargetMode="External"/><Relationship Id="rId86" Type="http://schemas.openxmlformats.org/officeDocument/2006/relationships/hyperlink" Target="http://amazon.com" TargetMode="External"/><Relationship Id="rId85" Type="http://schemas.openxmlformats.org/officeDocument/2006/relationships/hyperlink" Target="http://crucial.com" TargetMode="External"/><Relationship Id="rId88" Type="http://schemas.openxmlformats.org/officeDocument/2006/relationships/hyperlink" Target="http://amazon.co.uk" TargetMode="External"/><Relationship Id="rId87" Type="http://schemas.openxmlformats.org/officeDocument/2006/relationships/hyperlink" Target="http://amazon.com" TargetMode="External"/><Relationship Id="rId89" Type="http://schemas.openxmlformats.org/officeDocument/2006/relationships/hyperlink" Target="http://crucial.com" TargetMode="External"/><Relationship Id="rId80" Type="http://schemas.openxmlformats.org/officeDocument/2006/relationships/hyperlink" Target="http://nemixram.com" TargetMode="External"/><Relationship Id="rId82" Type="http://schemas.openxmlformats.org/officeDocument/2006/relationships/hyperlink" Target="http://amazon.com" TargetMode="External"/><Relationship Id="rId81" Type="http://schemas.openxmlformats.org/officeDocument/2006/relationships/hyperlink" Target="http://amazon.com" TargetMode="External"/><Relationship Id="rId73" Type="http://schemas.openxmlformats.org/officeDocument/2006/relationships/hyperlink" Target="http://amazon.com.au/" TargetMode="External"/><Relationship Id="rId72" Type="http://schemas.openxmlformats.org/officeDocument/2006/relationships/hyperlink" Target="http://amazon.com.au/" TargetMode="External"/><Relationship Id="rId75" Type="http://schemas.openxmlformats.org/officeDocument/2006/relationships/hyperlink" Target="http://amazon.de" TargetMode="External"/><Relationship Id="rId74" Type="http://schemas.openxmlformats.org/officeDocument/2006/relationships/hyperlink" Target="http://amazon.co.uk" TargetMode="External"/><Relationship Id="rId77" Type="http://schemas.openxmlformats.org/officeDocument/2006/relationships/hyperlink" Target="https://www.e-tec.at/details.php?artnr=%20227570" TargetMode="External"/><Relationship Id="rId76" Type="http://schemas.openxmlformats.org/officeDocument/2006/relationships/hyperlink" Target="http://amazon.com" TargetMode="External"/><Relationship Id="rId79" Type="http://schemas.openxmlformats.org/officeDocument/2006/relationships/hyperlink" Target="http://amazon.ca" TargetMode="External"/><Relationship Id="rId78" Type="http://schemas.openxmlformats.org/officeDocument/2006/relationships/hyperlink" Target="http://amazon.es" TargetMode="External"/><Relationship Id="rId71" Type="http://schemas.openxmlformats.org/officeDocument/2006/relationships/hyperlink" Target="http://amazon.com" TargetMode="External"/><Relationship Id="rId70" Type="http://schemas.openxmlformats.org/officeDocument/2006/relationships/hyperlink" Target="http://amazon.com" TargetMode="External"/><Relationship Id="rId62" Type="http://schemas.openxmlformats.org/officeDocument/2006/relationships/hyperlink" Target="https://www.alza.hu/kingston-so-dimm-16gb-ddr4-2666mhz-d5345030.htm" TargetMode="External"/><Relationship Id="rId61" Type="http://schemas.openxmlformats.org/officeDocument/2006/relationships/hyperlink" Target="http://amazon.it" TargetMode="External"/><Relationship Id="rId64" Type="http://schemas.openxmlformats.org/officeDocument/2006/relationships/hyperlink" Target="http://rozetka.ua" TargetMode="External"/><Relationship Id="rId63" Type="http://schemas.openxmlformats.org/officeDocument/2006/relationships/hyperlink" Target="http://alza.sk" TargetMode="External"/><Relationship Id="rId66" Type="http://schemas.openxmlformats.org/officeDocument/2006/relationships/hyperlink" Target="http://amazon.com" TargetMode="External"/><Relationship Id="rId65" Type="http://schemas.openxmlformats.org/officeDocument/2006/relationships/hyperlink" Target="http://amazon.se" TargetMode="External"/><Relationship Id="rId68" Type="http://schemas.openxmlformats.org/officeDocument/2006/relationships/hyperlink" Target="http://amazon.com" TargetMode="External"/><Relationship Id="rId67" Type="http://schemas.openxmlformats.org/officeDocument/2006/relationships/hyperlink" Target="http://amazon.ca" TargetMode="External"/><Relationship Id="rId60" Type="http://schemas.openxmlformats.org/officeDocument/2006/relationships/hyperlink" Target="http://amazon.ca" TargetMode="External"/><Relationship Id="rId69" Type="http://schemas.openxmlformats.org/officeDocument/2006/relationships/hyperlink" Target="http://amazon.com" TargetMode="External"/><Relationship Id="rId51" Type="http://schemas.openxmlformats.org/officeDocument/2006/relationships/hyperlink" Target="http://amazon.de" TargetMode="External"/><Relationship Id="rId50" Type="http://schemas.openxmlformats.org/officeDocument/2006/relationships/hyperlink" Target="http://amazon.com" TargetMode="External"/><Relationship Id="rId53" Type="http://schemas.openxmlformats.org/officeDocument/2006/relationships/hyperlink" Target="http://amazon.nl" TargetMode="External"/><Relationship Id="rId52" Type="http://schemas.openxmlformats.org/officeDocument/2006/relationships/hyperlink" Target="http://datart.sk" TargetMode="External"/><Relationship Id="rId55" Type="http://schemas.openxmlformats.org/officeDocument/2006/relationships/hyperlink" Target="http://amazon.com" TargetMode="External"/><Relationship Id="rId54" Type="http://schemas.openxmlformats.org/officeDocument/2006/relationships/hyperlink" Target="http://amazon.com" TargetMode="External"/><Relationship Id="rId57" Type="http://schemas.openxmlformats.org/officeDocument/2006/relationships/hyperlink" Target="http://amazon.co.uk" TargetMode="External"/><Relationship Id="rId56" Type="http://schemas.openxmlformats.org/officeDocument/2006/relationships/hyperlink" Target="http://amazon.com" TargetMode="External"/><Relationship Id="rId59" Type="http://schemas.openxmlformats.org/officeDocument/2006/relationships/hyperlink" Target="http://amazon.com" TargetMode="External"/><Relationship Id="rId58" Type="http://schemas.openxmlformats.org/officeDocument/2006/relationships/hyperlink" Target="http://amazon.ca" TargetMode="External"/><Relationship Id="rId107" Type="http://schemas.openxmlformats.org/officeDocument/2006/relationships/hyperlink" Target="https://www.alza.cz/EN/crucial-so-dimm-16gb-ddr4-2666mhz-cl19-for-mac-d7760812.htm" TargetMode="External"/><Relationship Id="rId228" Type="http://schemas.openxmlformats.org/officeDocument/2006/relationships/hyperlink" Target="http://amazon.ca" TargetMode="External"/><Relationship Id="rId349" Type="http://schemas.openxmlformats.org/officeDocument/2006/relationships/hyperlink" Target="http://amazon.com" TargetMode="External"/><Relationship Id="rId106" Type="http://schemas.openxmlformats.org/officeDocument/2006/relationships/hyperlink" Target="http://alternate.de" TargetMode="External"/><Relationship Id="rId227" Type="http://schemas.openxmlformats.org/officeDocument/2006/relationships/hyperlink" Target="http://amazon.com" TargetMode="External"/><Relationship Id="rId348" Type="http://schemas.openxmlformats.org/officeDocument/2006/relationships/hyperlink" Target="http://amazon.com" TargetMode="External"/><Relationship Id="rId469" Type="http://schemas.openxmlformats.org/officeDocument/2006/relationships/hyperlink" Target="http://amazon.com" TargetMode="External"/><Relationship Id="rId105" Type="http://schemas.openxmlformats.org/officeDocument/2006/relationships/hyperlink" Target="http://amazon.it" TargetMode="External"/><Relationship Id="rId226" Type="http://schemas.openxmlformats.org/officeDocument/2006/relationships/hyperlink" Target="http://megekko.nl" TargetMode="External"/><Relationship Id="rId347" Type="http://schemas.openxmlformats.org/officeDocument/2006/relationships/hyperlink" Target="http://amazon.ca" TargetMode="External"/><Relationship Id="rId468" Type="http://schemas.openxmlformats.org/officeDocument/2006/relationships/hyperlink" Target="http://alza.cz" TargetMode="External"/><Relationship Id="rId104" Type="http://schemas.openxmlformats.org/officeDocument/2006/relationships/hyperlink" Target="http://newegg.com" TargetMode="External"/><Relationship Id="rId225" Type="http://schemas.openxmlformats.org/officeDocument/2006/relationships/hyperlink" Target="http://amazon.com" TargetMode="External"/><Relationship Id="rId346" Type="http://schemas.openxmlformats.org/officeDocument/2006/relationships/hyperlink" Target="http://amazon.com" TargetMode="External"/><Relationship Id="rId467" Type="http://schemas.openxmlformats.org/officeDocument/2006/relationships/hyperlink" Target="http://amazon.com" TargetMode="External"/><Relationship Id="rId109" Type="http://schemas.openxmlformats.org/officeDocument/2006/relationships/hyperlink" Target="http://allegro.pl" TargetMode="External"/><Relationship Id="rId108" Type="http://schemas.openxmlformats.org/officeDocument/2006/relationships/hyperlink" Target="http://alternate.de" TargetMode="External"/><Relationship Id="rId229" Type="http://schemas.openxmlformats.org/officeDocument/2006/relationships/hyperlink" Target="http://amazon.es" TargetMode="External"/><Relationship Id="rId220" Type="http://schemas.openxmlformats.org/officeDocument/2006/relationships/hyperlink" Target="https://www.amazon.com/dp/B087YL19XJ?th=1" TargetMode="External"/><Relationship Id="rId341" Type="http://schemas.openxmlformats.org/officeDocument/2006/relationships/hyperlink" Target="http://amazon.nl" TargetMode="External"/><Relationship Id="rId462" Type="http://schemas.openxmlformats.org/officeDocument/2006/relationships/hyperlink" Target="http://amazon.com" TargetMode="External"/><Relationship Id="rId340" Type="http://schemas.openxmlformats.org/officeDocument/2006/relationships/hyperlink" Target="http://amazon.com" TargetMode="External"/><Relationship Id="rId461" Type="http://schemas.openxmlformats.org/officeDocument/2006/relationships/hyperlink" Target="http://amazon.com.be" TargetMode="External"/><Relationship Id="rId460" Type="http://schemas.openxmlformats.org/officeDocument/2006/relationships/hyperlink" Target="http://dns-shop.ru" TargetMode="External"/><Relationship Id="rId103" Type="http://schemas.openxmlformats.org/officeDocument/2006/relationships/hyperlink" Target="http://amazon.de" TargetMode="External"/><Relationship Id="rId224" Type="http://schemas.openxmlformats.org/officeDocument/2006/relationships/hyperlink" Target="http://amazon.fr" TargetMode="External"/><Relationship Id="rId345" Type="http://schemas.openxmlformats.org/officeDocument/2006/relationships/hyperlink" Target="http://amazon.com" TargetMode="External"/><Relationship Id="rId466" Type="http://schemas.openxmlformats.org/officeDocument/2006/relationships/hyperlink" Target="http://amazon.com" TargetMode="External"/><Relationship Id="rId102" Type="http://schemas.openxmlformats.org/officeDocument/2006/relationships/hyperlink" Target="http://memory.net" TargetMode="External"/><Relationship Id="rId223" Type="http://schemas.openxmlformats.org/officeDocument/2006/relationships/hyperlink" Target="http://amazon.ca" TargetMode="External"/><Relationship Id="rId344" Type="http://schemas.openxmlformats.org/officeDocument/2006/relationships/hyperlink" Target="http://singular.com.cy" TargetMode="External"/><Relationship Id="rId465" Type="http://schemas.openxmlformats.org/officeDocument/2006/relationships/hyperlink" Target="http://amazon.co.uk" TargetMode="External"/><Relationship Id="rId101" Type="http://schemas.openxmlformats.org/officeDocument/2006/relationships/hyperlink" Target="http://amazon.com" TargetMode="External"/><Relationship Id="rId222" Type="http://schemas.openxmlformats.org/officeDocument/2006/relationships/hyperlink" Target="http://amazon.nl" TargetMode="External"/><Relationship Id="rId343" Type="http://schemas.openxmlformats.org/officeDocument/2006/relationships/hyperlink" Target="http://amazon.de" TargetMode="External"/><Relationship Id="rId464" Type="http://schemas.openxmlformats.org/officeDocument/2006/relationships/hyperlink" Target="http://amazon.com" TargetMode="External"/><Relationship Id="rId100" Type="http://schemas.openxmlformats.org/officeDocument/2006/relationships/hyperlink" Target="http://amazon.com" TargetMode="External"/><Relationship Id="rId221" Type="http://schemas.openxmlformats.org/officeDocument/2006/relationships/hyperlink" Target="http://amazon.com" TargetMode="External"/><Relationship Id="rId342" Type="http://schemas.openxmlformats.org/officeDocument/2006/relationships/hyperlink" Target="http://amazon.de" TargetMode="External"/><Relationship Id="rId463" Type="http://schemas.openxmlformats.org/officeDocument/2006/relationships/hyperlink" Target="http://pbtech.co.nz" TargetMode="External"/><Relationship Id="rId217" Type="http://schemas.openxmlformats.org/officeDocument/2006/relationships/hyperlink" Target="http://alltron.ch" TargetMode="External"/><Relationship Id="rId338" Type="http://schemas.openxmlformats.org/officeDocument/2006/relationships/hyperlink" Target="http://amazon.nl" TargetMode="External"/><Relationship Id="rId459" Type="http://schemas.openxmlformats.org/officeDocument/2006/relationships/hyperlink" Target="http://ozon.ru" TargetMode="External"/><Relationship Id="rId216" Type="http://schemas.openxmlformats.org/officeDocument/2006/relationships/hyperlink" Target="http://amazon.nl" TargetMode="External"/><Relationship Id="rId337" Type="http://schemas.openxmlformats.org/officeDocument/2006/relationships/hyperlink" Target="http://amazon.com" TargetMode="External"/><Relationship Id="rId458" Type="http://schemas.openxmlformats.org/officeDocument/2006/relationships/hyperlink" Target="http://amazon.co.uk" TargetMode="External"/><Relationship Id="rId215" Type="http://schemas.openxmlformats.org/officeDocument/2006/relationships/hyperlink" Target="http://amazon.co.uk" TargetMode="External"/><Relationship Id="rId336" Type="http://schemas.openxmlformats.org/officeDocument/2006/relationships/hyperlink" Target="http://amazon.com" TargetMode="External"/><Relationship Id="rId457" Type="http://schemas.openxmlformats.org/officeDocument/2006/relationships/hyperlink" Target="http://shop.tsukumo.co.jp" TargetMode="External"/><Relationship Id="rId214" Type="http://schemas.openxmlformats.org/officeDocument/2006/relationships/hyperlink" Target="http://amazon.com" TargetMode="External"/><Relationship Id="rId335" Type="http://schemas.openxmlformats.org/officeDocument/2006/relationships/hyperlink" Target="http://amazon.com" TargetMode="External"/><Relationship Id="rId456" Type="http://schemas.openxmlformats.org/officeDocument/2006/relationships/hyperlink" Target="http://newegg.com" TargetMode="External"/><Relationship Id="rId219" Type="http://schemas.openxmlformats.org/officeDocument/2006/relationships/hyperlink" Target="http://amazon.com" TargetMode="External"/><Relationship Id="rId218" Type="http://schemas.openxmlformats.org/officeDocument/2006/relationships/hyperlink" Target="http://amazon.de" TargetMode="External"/><Relationship Id="rId339" Type="http://schemas.openxmlformats.org/officeDocument/2006/relationships/hyperlink" Target="http://amazon.com" TargetMode="External"/><Relationship Id="rId330" Type="http://schemas.openxmlformats.org/officeDocument/2006/relationships/hyperlink" Target="http://amazon.se" TargetMode="External"/><Relationship Id="rId451" Type="http://schemas.openxmlformats.org/officeDocument/2006/relationships/hyperlink" Target="http://uk.crucial.com" TargetMode="External"/><Relationship Id="rId450" Type="http://schemas.openxmlformats.org/officeDocument/2006/relationships/hyperlink" Target="http://ebay.com" TargetMode="External"/><Relationship Id="rId213" Type="http://schemas.openxmlformats.org/officeDocument/2006/relationships/hyperlink" Target="http://amazon.co.uk" TargetMode="External"/><Relationship Id="rId334" Type="http://schemas.openxmlformats.org/officeDocument/2006/relationships/hyperlink" Target="http://pcland.hu" TargetMode="External"/><Relationship Id="rId455" Type="http://schemas.openxmlformats.org/officeDocument/2006/relationships/hyperlink" Target="http://umart.com.au" TargetMode="External"/><Relationship Id="rId212" Type="http://schemas.openxmlformats.org/officeDocument/2006/relationships/hyperlink" Target="http://amazon.co.uk" TargetMode="External"/><Relationship Id="rId333" Type="http://schemas.openxmlformats.org/officeDocument/2006/relationships/hyperlink" Target="http://pcx.hu" TargetMode="External"/><Relationship Id="rId454" Type="http://schemas.openxmlformats.org/officeDocument/2006/relationships/hyperlink" Target="http://ebay.com" TargetMode="External"/><Relationship Id="rId211" Type="http://schemas.openxmlformats.org/officeDocument/2006/relationships/hyperlink" Target="http://amazon.com" TargetMode="External"/><Relationship Id="rId332" Type="http://schemas.openxmlformats.org/officeDocument/2006/relationships/hyperlink" Target="http://amazon.fr" TargetMode="External"/><Relationship Id="rId453" Type="http://schemas.openxmlformats.org/officeDocument/2006/relationships/hyperlink" Target="http://ozon.ru" TargetMode="External"/><Relationship Id="rId210" Type="http://schemas.openxmlformats.org/officeDocument/2006/relationships/hyperlink" Target="http://amazon.jp" TargetMode="External"/><Relationship Id="rId331" Type="http://schemas.openxmlformats.org/officeDocument/2006/relationships/hyperlink" Target="http://amazon.de" TargetMode="External"/><Relationship Id="rId452" Type="http://schemas.openxmlformats.org/officeDocument/2006/relationships/hyperlink" Target="http://alza.cz" TargetMode="External"/><Relationship Id="rId370" Type="http://schemas.openxmlformats.org/officeDocument/2006/relationships/hyperlink" Target="http://amazon.nl" TargetMode="External"/><Relationship Id="rId491" Type="http://schemas.openxmlformats.org/officeDocument/2006/relationships/hyperlink" Target="http://amazon.com" TargetMode="External"/><Relationship Id="rId490" Type="http://schemas.openxmlformats.org/officeDocument/2006/relationships/hyperlink" Target="http://www.lazada.co.th" TargetMode="External"/><Relationship Id="rId129" Type="http://schemas.openxmlformats.org/officeDocument/2006/relationships/hyperlink" Target="http://amazon.co.uk" TargetMode="External"/><Relationship Id="rId128" Type="http://schemas.openxmlformats.org/officeDocument/2006/relationships/hyperlink" Target="http://amazon.in" TargetMode="External"/><Relationship Id="rId249" Type="http://schemas.openxmlformats.org/officeDocument/2006/relationships/hyperlink" Target="http://amazon.ca" TargetMode="External"/><Relationship Id="rId127" Type="http://schemas.openxmlformats.org/officeDocument/2006/relationships/hyperlink" Target="http://amazon.com" TargetMode="External"/><Relationship Id="rId248" Type="http://schemas.openxmlformats.org/officeDocument/2006/relationships/hyperlink" Target="http://www.megekko.nl" TargetMode="External"/><Relationship Id="rId369" Type="http://schemas.openxmlformats.org/officeDocument/2006/relationships/hyperlink" Target="http://amazon.com/" TargetMode="External"/><Relationship Id="rId126" Type="http://schemas.openxmlformats.org/officeDocument/2006/relationships/hyperlink" Target="http://bol.com" TargetMode="External"/><Relationship Id="rId247" Type="http://schemas.openxmlformats.org/officeDocument/2006/relationships/hyperlink" Target="http://ebay.com" TargetMode="External"/><Relationship Id="rId368" Type="http://schemas.openxmlformats.org/officeDocument/2006/relationships/hyperlink" Target="http://amazon.com" TargetMode="External"/><Relationship Id="rId489" Type="http://schemas.openxmlformats.org/officeDocument/2006/relationships/hyperlink" Target="http://ozon.ru" TargetMode="External"/><Relationship Id="rId121" Type="http://schemas.openxmlformats.org/officeDocument/2006/relationships/hyperlink" Target="http://amazon.de" TargetMode="External"/><Relationship Id="rId242" Type="http://schemas.openxmlformats.org/officeDocument/2006/relationships/hyperlink" Target="http://amazon.nl" TargetMode="External"/><Relationship Id="rId363" Type="http://schemas.openxmlformats.org/officeDocument/2006/relationships/hyperlink" Target="http://amazon.com" TargetMode="External"/><Relationship Id="rId484" Type="http://schemas.openxmlformats.org/officeDocument/2006/relationships/hyperlink" Target="http://wb.ru" TargetMode="External"/><Relationship Id="rId120" Type="http://schemas.openxmlformats.org/officeDocument/2006/relationships/hyperlink" Target="http://amazon.com" TargetMode="External"/><Relationship Id="rId241" Type="http://schemas.openxmlformats.org/officeDocument/2006/relationships/hyperlink" Target="http://amazon.nl" TargetMode="External"/><Relationship Id="rId362" Type="http://schemas.openxmlformats.org/officeDocument/2006/relationships/hyperlink" Target="http://amazon.com" TargetMode="External"/><Relationship Id="rId483" Type="http://schemas.openxmlformats.org/officeDocument/2006/relationships/hyperlink" Target="http://amazon.com" TargetMode="External"/><Relationship Id="rId240" Type="http://schemas.openxmlformats.org/officeDocument/2006/relationships/hyperlink" Target="http://proshop.se" TargetMode="External"/><Relationship Id="rId361" Type="http://schemas.openxmlformats.org/officeDocument/2006/relationships/hyperlink" Target="http://amazon.ca" TargetMode="External"/><Relationship Id="rId482" Type="http://schemas.openxmlformats.org/officeDocument/2006/relationships/hyperlink" Target="http://alza.cz" TargetMode="External"/><Relationship Id="rId360" Type="http://schemas.openxmlformats.org/officeDocument/2006/relationships/hyperlink" Target="http://amazon.com" TargetMode="External"/><Relationship Id="rId481" Type="http://schemas.openxmlformats.org/officeDocument/2006/relationships/hyperlink" Target="http://amazon.com" TargetMode="External"/><Relationship Id="rId125" Type="http://schemas.openxmlformats.org/officeDocument/2006/relationships/hyperlink" Target="http://bol.com" TargetMode="External"/><Relationship Id="rId246" Type="http://schemas.openxmlformats.org/officeDocument/2006/relationships/hyperlink" Target="http://amazon.com" TargetMode="External"/><Relationship Id="rId367" Type="http://schemas.openxmlformats.org/officeDocument/2006/relationships/hyperlink" Target="http://amazon.co.jp" TargetMode="External"/><Relationship Id="rId488" Type="http://schemas.openxmlformats.org/officeDocument/2006/relationships/hyperlink" Target="http://megekko.nl" TargetMode="External"/><Relationship Id="rId124" Type="http://schemas.openxmlformats.org/officeDocument/2006/relationships/hyperlink" Target="http://amazon.com" TargetMode="External"/><Relationship Id="rId245" Type="http://schemas.openxmlformats.org/officeDocument/2006/relationships/hyperlink" Target="http://amazon.com" TargetMode="External"/><Relationship Id="rId366" Type="http://schemas.openxmlformats.org/officeDocument/2006/relationships/hyperlink" Target="http://amazon.co.uk" TargetMode="External"/><Relationship Id="rId487" Type="http://schemas.openxmlformats.org/officeDocument/2006/relationships/hyperlink" Target="http://amazon.com" TargetMode="External"/><Relationship Id="rId123" Type="http://schemas.openxmlformats.org/officeDocument/2006/relationships/hyperlink" Target="http://alza.hu" TargetMode="External"/><Relationship Id="rId244" Type="http://schemas.openxmlformats.org/officeDocument/2006/relationships/hyperlink" Target="http://amazon.nl" TargetMode="External"/><Relationship Id="rId365" Type="http://schemas.openxmlformats.org/officeDocument/2006/relationships/hyperlink" Target="http://e-tec.at" TargetMode="External"/><Relationship Id="rId486" Type="http://schemas.openxmlformats.org/officeDocument/2006/relationships/hyperlink" Target="http://amazon.de" TargetMode="External"/><Relationship Id="rId122" Type="http://schemas.openxmlformats.org/officeDocument/2006/relationships/hyperlink" Target="http://alternate.de" TargetMode="External"/><Relationship Id="rId243" Type="http://schemas.openxmlformats.org/officeDocument/2006/relationships/hyperlink" Target="http://amazon.ca" TargetMode="External"/><Relationship Id="rId364" Type="http://schemas.openxmlformats.org/officeDocument/2006/relationships/hyperlink" Target="http://emag.ro" TargetMode="External"/><Relationship Id="rId485" Type="http://schemas.openxmlformats.org/officeDocument/2006/relationships/hyperlink" Target="http://newegg.com" TargetMode="External"/><Relationship Id="rId95" Type="http://schemas.openxmlformats.org/officeDocument/2006/relationships/hyperlink" Target="http://tsbohemia.cz" TargetMode="External"/><Relationship Id="rId94" Type="http://schemas.openxmlformats.org/officeDocument/2006/relationships/hyperlink" Target="http://amazon.com" TargetMode="External"/><Relationship Id="rId97" Type="http://schemas.openxmlformats.org/officeDocument/2006/relationships/hyperlink" Target="http://amazon.com" TargetMode="External"/><Relationship Id="rId96" Type="http://schemas.openxmlformats.org/officeDocument/2006/relationships/hyperlink" Target="http://amazon.com" TargetMode="External"/><Relationship Id="rId99" Type="http://schemas.openxmlformats.org/officeDocument/2006/relationships/hyperlink" Target="http://amazon.de" TargetMode="External"/><Relationship Id="rId480" Type="http://schemas.openxmlformats.org/officeDocument/2006/relationships/hyperlink" Target="http://amazon.com" TargetMode="External"/><Relationship Id="rId98" Type="http://schemas.openxmlformats.org/officeDocument/2006/relationships/hyperlink" Target="http://galaxus.ch" TargetMode="External"/><Relationship Id="rId91" Type="http://schemas.openxmlformats.org/officeDocument/2006/relationships/hyperlink" Target="http://amazon.com" TargetMode="External"/><Relationship Id="rId90" Type="http://schemas.openxmlformats.org/officeDocument/2006/relationships/hyperlink" Target="http://amazon.com" TargetMode="External"/><Relationship Id="rId93" Type="http://schemas.openxmlformats.org/officeDocument/2006/relationships/hyperlink" Target="https://www.walmart.com/ip/Timetec-16Gb-Ddr4-2666Mhz-Pc4-21300-Non-Ecc-Unbuffered-1-2V-Cl19-2Rx8-Dual-Rank-260-Pin-Sodimm-Laptop-Notebook-Pc-Computer-Memory-Ram-Module-Upgrade-/507445818" TargetMode="External"/><Relationship Id="rId92" Type="http://schemas.openxmlformats.org/officeDocument/2006/relationships/hyperlink" Target="http://amazon.com" TargetMode="External"/><Relationship Id="rId118" Type="http://schemas.openxmlformats.org/officeDocument/2006/relationships/hyperlink" Target="https://www.amazon.com/dp/B006YG8X9Y?ref=ppx_yo2ov_dt_b_product_details&amp;th=1" TargetMode="External"/><Relationship Id="rId239" Type="http://schemas.openxmlformats.org/officeDocument/2006/relationships/hyperlink" Target="http://amazon.nl" TargetMode="External"/><Relationship Id="rId117" Type="http://schemas.openxmlformats.org/officeDocument/2006/relationships/hyperlink" Target="https://www.ebay.com/itm/155672405514" TargetMode="External"/><Relationship Id="rId238" Type="http://schemas.openxmlformats.org/officeDocument/2006/relationships/hyperlink" Target="http://amazon.ca" TargetMode="External"/><Relationship Id="rId359" Type="http://schemas.openxmlformats.org/officeDocument/2006/relationships/hyperlink" Target="http://amazon.com" TargetMode="External"/><Relationship Id="rId116" Type="http://schemas.openxmlformats.org/officeDocument/2006/relationships/hyperlink" Target="http://amazon.com.au" TargetMode="External"/><Relationship Id="rId237" Type="http://schemas.openxmlformats.org/officeDocument/2006/relationships/hyperlink" Target="http://amazon.nl" TargetMode="External"/><Relationship Id="rId358" Type="http://schemas.openxmlformats.org/officeDocument/2006/relationships/hyperlink" Target="http://amazon.fr" TargetMode="External"/><Relationship Id="rId479" Type="http://schemas.openxmlformats.org/officeDocument/2006/relationships/hyperlink" Target="http://amazon.nl" TargetMode="External"/><Relationship Id="rId115" Type="http://schemas.openxmlformats.org/officeDocument/2006/relationships/hyperlink" Target="http://amazon.com" TargetMode="External"/><Relationship Id="rId236" Type="http://schemas.openxmlformats.org/officeDocument/2006/relationships/hyperlink" Target="http://amazon.com" TargetMode="External"/><Relationship Id="rId357" Type="http://schemas.openxmlformats.org/officeDocument/2006/relationships/hyperlink" Target="http://amazon.de" TargetMode="External"/><Relationship Id="rId478" Type="http://schemas.openxmlformats.org/officeDocument/2006/relationships/hyperlink" Target="http://lambda-tek.com" TargetMode="External"/><Relationship Id="rId119" Type="http://schemas.openxmlformats.org/officeDocument/2006/relationships/hyperlink" Target="http://amazon.ca" TargetMode="External"/><Relationship Id="rId110" Type="http://schemas.openxmlformats.org/officeDocument/2006/relationships/hyperlink" Target="http://cyberport.at" TargetMode="External"/><Relationship Id="rId231" Type="http://schemas.openxmlformats.org/officeDocument/2006/relationships/hyperlink" Target="http://amazon.com" TargetMode="External"/><Relationship Id="rId352" Type="http://schemas.openxmlformats.org/officeDocument/2006/relationships/hyperlink" Target="http://digitec.ch" TargetMode="External"/><Relationship Id="rId473" Type="http://schemas.openxmlformats.org/officeDocument/2006/relationships/hyperlink" Target="http://amazon.com" TargetMode="External"/><Relationship Id="rId230" Type="http://schemas.openxmlformats.org/officeDocument/2006/relationships/hyperlink" Target="http://x-kom.pl" TargetMode="External"/><Relationship Id="rId351" Type="http://schemas.openxmlformats.org/officeDocument/2006/relationships/hyperlink" Target="http://newegg.com" TargetMode="External"/><Relationship Id="rId472" Type="http://schemas.openxmlformats.org/officeDocument/2006/relationships/hyperlink" Target="http://alternate.be" TargetMode="External"/><Relationship Id="rId350" Type="http://schemas.openxmlformats.org/officeDocument/2006/relationships/hyperlink" Target="http://alza.cz" TargetMode="External"/><Relationship Id="rId471" Type="http://schemas.openxmlformats.org/officeDocument/2006/relationships/hyperlink" Target="http://amazon.de" TargetMode="External"/><Relationship Id="rId470" Type="http://schemas.openxmlformats.org/officeDocument/2006/relationships/hyperlink" Target="http://momoshop.com.tw" TargetMode="External"/><Relationship Id="rId114" Type="http://schemas.openxmlformats.org/officeDocument/2006/relationships/hyperlink" Target="http://megekko.nl" TargetMode="External"/><Relationship Id="rId235" Type="http://schemas.openxmlformats.org/officeDocument/2006/relationships/hyperlink" Target="http://amazon.com" TargetMode="External"/><Relationship Id="rId356" Type="http://schemas.openxmlformats.org/officeDocument/2006/relationships/hyperlink" Target="http://dns-shop.ru" TargetMode="External"/><Relationship Id="rId477" Type="http://schemas.openxmlformats.org/officeDocument/2006/relationships/hyperlink" Target="http://www.itrepowered.nl" TargetMode="External"/><Relationship Id="rId113" Type="http://schemas.openxmlformats.org/officeDocument/2006/relationships/hyperlink" Target="http://amazon.com" TargetMode="External"/><Relationship Id="rId234" Type="http://schemas.openxmlformats.org/officeDocument/2006/relationships/hyperlink" Target="http://dustin.se" TargetMode="External"/><Relationship Id="rId355" Type="http://schemas.openxmlformats.org/officeDocument/2006/relationships/hyperlink" Target="http://bol.com" TargetMode="External"/><Relationship Id="rId476" Type="http://schemas.openxmlformats.org/officeDocument/2006/relationships/hyperlink" Target="http://alza.at" TargetMode="External"/><Relationship Id="rId112" Type="http://schemas.openxmlformats.org/officeDocument/2006/relationships/hyperlink" Target="https://www.csv.de/" TargetMode="External"/><Relationship Id="rId233" Type="http://schemas.openxmlformats.org/officeDocument/2006/relationships/hyperlink" Target="http://amazon.nl" TargetMode="External"/><Relationship Id="rId354" Type="http://schemas.openxmlformats.org/officeDocument/2006/relationships/hyperlink" Target="http://ozon.ru" TargetMode="External"/><Relationship Id="rId475" Type="http://schemas.openxmlformats.org/officeDocument/2006/relationships/hyperlink" Target="http://bueromarkt-ag.de" TargetMode="External"/><Relationship Id="rId111" Type="http://schemas.openxmlformats.org/officeDocument/2006/relationships/hyperlink" Target="http://amazon.com" TargetMode="External"/><Relationship Id="rId232" Type="http://schemas.openxmlformats.org/officeDocument/2006/relationships/hyperlink" Target="http://amazon.fr" TargetMode="External"/><Relationship Id="rId353" Type="http://schemas.openxmlformats.org/officeDocument/2006/relationships/hyperlink" Target="http://morele.net" TargetMode="External"/><Relationship Id="rId474" Type="http://schemas.openxmlformats.org/officeDocument/2006/relationships/hyperlink" Target="http://amazon.de" TargetMode="External"/><Relationship Id="rId305" Type="http://schemas.openxmlformats.org/officeDocument/2006/relationships/hyperlink" Target="http://amazon.nl" TargetMode="External"/><Relationship Id="rId426" Type="http://schemas.openxmlformats.org/officeDocument/2006/relationships/hyperlink" Target="http://amazon.com" TargetMode="External"/><Relationship Id="rId304" Type="http://schemas.openxmlformats.org/officeDocument/2006/relationships/hyperlink" Target="http://amazon.com" TargetMode="External"/><Relationship Id="rId425" Type="http://schemas.openxmlformats.org/officeDocument/2006/relationships/hyperlink" Target="http://jd.com" TargetMode="External"/><Relationship Id="rId303" Type="http://schemas.openxmlformats.org/officeDocument/2006/relationships/hyperlink" Target="http://amazon.com" TargetMode="External"/><Relationship Id="rId424" Type="http://schemas.openxmlformats.org/officeDocument/2006/relationships/hyperlink" Target="http://amazon.in" TargetMode="External"/><Relationship Id="rId302" Type="http://schemas.openxmlformats.org/officeDocument/2006/relationships/hyperlink" Target="http://amazon.com" TargetMode="External"/><Relationship Id="rId423" Type="http://schemas.openxmlformats.org/officeDocument/2006/relationships/hyperlink" Target="http://gigatron.rs" TargetMode="External"/><Relationship Id="rId309" Type="http://schemas.openxmlformats.org/officeDocument/2006/relationships/hyperlink" Target="http://amazon.com" TargetMode="External"/><Relationship Id="rId308" Type="http://schemas.openxmlformats.org/officeDocument/2006/relationships/hyperlink" Target="http://amazon.com" TargetMode="External"/><Relationship Id="rId429" Type="http://schemas.openxmlformats.org/officeDocument/2006/relationships/hyperlink" Target="http://alza.cz" TargetMode="External"/><Relationship Id="rId307" Type="http://schemas.openxmlformats.org/officeDocument/2006/relationships/hyperlink" Target="http://amazon.ca" TargetMode="External"/><Relationship Id="rId428" Type="http://schemas.openxmlformats.org/officeDocument/2006/relationships/hyperlink" Target="http://tera.cz" TargetMode="External"/><Relationship Id="rId306" Type="http://schemas.openxmlformats.org/officeDocument/2006/relationships/hyperlink" Target="http://pcx.com.ph" TargetMode="External"/><Relationship Id="rId427" Type="http://schemas.openxmlformats.org/officeDocument/2006/relationships/hyperlink" Target="http://jd.com" TargetMode="External"/><Relationship Id="rId301" Type="http://schemas.openxmlformats.org/officeDocument/2006/relationships/hyperlink" Target="http://amazon.co.uk" TargetMode="External"/><Relationship Id="rId422" Type="http://schemas.openxmlformats.org/officeDocument/2006/relationships/hyperlink" Target="http://amazon.com" TargetMode="External"/><Relationship Id="rId300" Type="http://schemas.openxmlformats.org/officeDocument/2006/relationships/hyperlink" Target="http://amazon.com" TargetMode="External"/><Relationship Id="rId421" Type="http://schemas.openxmlformats.org/officeDocument/2006/relationships/hyperlink" Target="http://amazon.com" TargetMode="External"/><Relationship Id="rId420" Type="http://schemas.openxmlformats.org/officeDocument/2006/relationships/hyperlink" Target="http://amazon.com" TargetMode="External"/><Relationship Id="rId415" Type="http://schemas.openxmlformats.org/officeDocument/2006/relationships/hyperlink" Target="http://amazon.com" TargetMode="External"/><Relationship Id="rId414" Type="http://schemas.openxmlformats.org/officeDocument/2006/relationships/hyperlink" Target="http://bcgroup.rs" TargetMode="External"/><Relationship Id="rId413" Type="http://schemas.openxmlformats.org/officeDocument/2006/relationships/hyperlink" Target="http://allegro.pl" TargetMode="External"/><Relationship Id="rId412" Type="http://schemas.openxmlformats.org/officeDocument/2006/relationships/hyperlink" Target="http://viphouse.rs" TargetMode="External"/><Relationship Id="rId419" Type="http://schemas.openxmlformats.org/officeDocument/2006/relationships/hyperlink" Target="http://inet.se" TargetMode="External"/><Relationship Id="rId418" Type="http://schemas.openxmlformats.org/officeDocument/2006/relationships/hyperlink" Target="http://kingston.com" TargetMode="External"/><Relationship Id="rId417" Type="http://schemas.openxmlformats.org/officeDocument/2006/relationships/hyperlink" Target="http://amazon.ca" TargetMode="External"/><Relationship Id="rId416" Type="http://schemas.openxmlformats.org/officeDocument/2006/relationships/hyperlink" Target="http://amazon.com" TargetMode="External"/><Relationship Id="rId411" Type="http://schemas.openxmlformats.org/officeDocument/2006/relationships/hyperlink" Target="http://amazon.co.au" TargetMode="External"/><Relationship Id="rId410" Type="http://schemas.openxmlformats.org/officeDocument/2006/relationships/hyperlink" Target="http://amazon.ca" TargetMode="External"/><Relationship Id="rId206" Type="http://schemas.openxmlformats.org/officeDocument/2006/relationships/hyperlink" Target="http://amazon.se" TargetMode="External"/><Relationship Id="rId327" Type="http://schemas.openxmlformats.org/officeDocument/2006/relationships/hyperlink" Target="http://amazon.com" TargetMode="External"/><Relationship Id="rId448" Type="http://schemas.openxmlformats.org/officeDocument/2006/relationships/hyperlink" Target="http://allegro.hu" TargetMode="External"/><Relationship Id="rId205" Type="http://schemas.openxmlformats.org/officeDocument/2006/relationships/hyperlink" Target="http://pcx.hu" TargetMode="External"/><Relationship Id="rId326" Type="http://schemas.openxmlformats.org/officeDocument/2006/relationships/hyperlink" Target="http://alza.hu" TargetMode="External"/><Relationship Id="rId447" Type="http://schemas.openxmlformats.org/officeDocument/2006/relationships/hyperlink" Target="http://allegro.pl" TargetMode="External"/><Relationship Id="rId204" Type="http://schemas.openxmlformats.org/officeDocument/2006/relationships/hyperlink" Target="http://amazon.com" TargetMode="External"/><Relationship Id="rId325" Type="http://schemas.openxmlformats.org/officeDocument/2006/relationships/hyperlink" Target="http://amazon.com.au" TargetMode="External"/><Relationship Id="rId446" Type="http://schemas.openxmlformats.org/officeDocument/2006/relationships/hyperlink" Target="http://shopee.com" TargetMode="External"/><Relationship Id="rId203" Type="http://schemas.openxmlformats.org/officeDocument/2006/relationships/hyperlink" Target="https://www.minipriceexpress.com/" TargetMode="External"/><Relationship Id="rId324" Type="http://schemas.openxmlformats.org/officeDocument/2006/relationships/hyperlink" Target="http://vatera.hu" TargetMode="External"/><Relationship Id="rId445" Type="http://schemas.openxmlformats.org/officeDocument/2006/relationships/hyperlink" Target="http://alza.cz" TargetMode="External"/><Relationship Id="rId209" Type="http://schemas.openxmlformats.org/officeDocument/2006/relationships/hyperlink" Target="http://amazon.com" TargetMode="External"/><Relationship Id="rId208" Type="http://schemas.openxmlformats.org/officeDocument/2006/relationships/hyperlink" Target="http://amazon.com" TargetMode="External"/><Relationship Id="rId329" Type="http://schemas.openxmlformats.org/officeDocument/2006/relationships/hyperlink" Target="http://amazon.com" TargetMode="External"/><Relationship Id="rId207" Type="http://schemas.openxmlformats.org/officeDocument/2006/relationships/hyperlink" Target="http://amazon.com" TargetMode="External"/><Relationship Id="rId328" Type="http://schemas.openxmlformats.org/officeDocument/2006/relationships/hyperlink" Target="http://amazon.com" TargetMode="External"/><Relationship Id="rId449" Type="http://schemas.openxmlformats.org/officeDocument/2006/relationships/hyperlink" Target="http://amazon.nl" TargetMode="External"/><Relationship Id="rId440" Type="http://schemas.openxmlformats.org/officeDocument/2006/relationships/hyperlink" Target="http://nbb.com" TargetMode="External"/><Relationship Id="rId202" Type="http://schemas.openxmlformats.org/officeDocument/2006/relationships/hyperlink" Target="http://amazon.nl" TargetMode="External"/><Relationship Id="rId323" Type="http://schemas.openxmlformats.org/officeDocument/2006/relationships/hyperlink" Target="http://aukro.cz" TargetMode="External"/><Relationship Id="rId444" Type="http://schemas.openxmlformats.org/officeDocument/2006/relationships/hyperlink" Target="http://amazon.com.au" TargetMode="External"/><Relationship Id="rId201" Type="http://schemas.openxmlformats.org/officeDocument/2006/relationships/hyperlink" Target="http://ebuyer.com" TargetMode="External"/><Relationship Id="rId322" Type="http://schemas.openxmlformats.org/officeDocument/2006/relationships/hyperlink" Target="http://amazon.com" TargetMode="External"/><Relationship Id="rId443" Type="http://schemas.openxmlformats.org/officeDocument/2006/relationships/hyperlink" Target="https://lemmy.dbzer0.com/u/dditty" TargetMode="External"/><Relationship Id="rId200" Type="http://schemas.openxmlformats.org/officeDocument/2006/relationships/hyperlink" Target="https://www.amazon.com.be/dp/B019FRBHZ0/" TargetMode="External"/><Relationship Id="rId321" Type="http://schemas.openxmlformats.org/officeDocument/2006/relationships/hyperlink" Target="http://newegg.com" TargetMode="External"/><Relationship Id="rId442" Type="http://schemas.openxmlformats.org/officeDocument/2006/relationships/hyperlink" Target="http://ozon.ru" TargetMode="External"/><Relationship Id="rId320" Type="http://schemas.openxmlformats.org/officeDocument/2006/relationships/hyperlink" Target="http://oaziscomputer.hu" TargetMode="External"/><Relationship Id="rId441" Type="http://schemas.openxmlformats.org/officeDocument/2006/relationships/hyperlink" Target="http://amazon.co.uk" TargetMode="External"/><Relationship Id="rId316" Type="http://schemas.openxmlformats.org/officeDocument/2006/relationships/hyperlink" Target="http://amazon.co.uk" TargetMode="External"/><Relationship Id="rId437" Type="http://schemas.openxmlformats.org/officeDocument/2006/relationships/hyperlink" Target="http://amazon.it" TargetMode="External"/><Relationship Id="rId315" Type="http://schemas.openxmlformats.org/officeDocument/2006/relationships/hyperlink" Target="http://amazon.com" TargetMode="External"/><Relationship Id="rId436" Type="http://schemas.openxmlformats.org/officeDocument/2006/relationships/hyperlink" Target="http://ramcity.com.au" TargetMode="External"/><Relationship Id="rId314" Type="http://schemas.openxmlformats.org/officeDocument/2006/relationships/hyperlink" Target="http://amazon.com" TargetMode="External"/><Relationship Id="rId435" Type="http://schemas.openxmlformats.org/officeDocument/2006/relationships/hyperlink" Target="http://amazon.es" TargetMode="External"/><Relationship Id="rId313" Type="http://schemas.openxmlformats.org/officeDocument/2006/relationships/hyperlink" Target="http://amazon.com" TargetMode="External"/><Relationship Id="rId434" Type="http://schemas.openxmlformats.org/officeDocument/2006/relationships/hyperlink" Target="http://alza.cz" TargetMode="External"/><Relationship Id="rId319" Type="http://schemas.openxmlformats.org/officeDocument/2006/relationships/hyperlink" Target="http://alza.hu" TargetMode="External"/><Relationship Id="rId318" Type="http://schemas.openxmlformats.org/officeDocument/2006/relationships/hyperlink" Target="http://hard.rozetka.com.ua" TargetMode="External"/><Relationship Id="rId439" Type="http://schemas.openxmlformats.org/officeDocument/2006/relationships/hyperlink" Target="http://amazon.it" TargetMode="External"/><Relationship Id="rId317" Type="http://schemas.openxmlformats.org/officeDocument/2006/relationships/hyperlink" Target="http://suntech.cz" TargetMode="External"/><Relationship Id="rId438" Type="http://schemas.openxmlformats.org/officeDocument/2006/relationships/hyperlink" Target="http://you.gr" TargetMode="External"/><Relationship Id="rId312" Type="http://schemas.openxmlformats.org/officeDocument/2006/relationships/hyperlink" Target="http://amazon.in" TargetMode="External"/><Relationship Id="rId433" Type="http://schemas.openxmlformats.org/officeDocument/2006/relationships/hyperlink" Target="http://amazon.it" TargetMode="External"/><Relationship Id="rId311" Type="http://schemas.openxmlformats.org/officeDocument/2006/relationships/hyperlink" Target="http://amazon.com" TargetMode="External"/><Relationship Id="rId432" Type="http://schemas.openxmlformats.org/officeDocument/2006/relationships/hyperlink" Target="http://ebay.it" TargetMode="External"/><Relationship Id="rId310" Type="http://schemas.openxmlformats.org/officeDocument/2006/relationships/hyperlink" Target="http://suntech.cz" TargetMode="External"/><Relationship Id="rId431" Type="http://schemas.openxmlformats.org/officeDocument/2006/relationships/hyperlink" Target="http://nbb.com" TargetMode="External"/><Relationship Id="rId430" Type="http://schemas.openxmlformats.org/officeDocument/2006/relationships/hyperlink" Target="http://amazon.f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ms.gle/m4omgupxV6eevuFf7" TargetMode="External"/><Relationship Id="rId2" Type="http://schemas.openxmlformats.org/officeDocument/2006/relationships/hyperlink" Target="https://www.reddit.com/message/compose/?to=woieieyfwoeo"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ballicom.co.uk/" TargetMode="External"/><Relationship Id="rId2" Type="http://schemas.openxmlformats.org/officeDocument/2006/relationships/hyperlink" Target="http://amazon.com" TargetMode="External"/><Relationship Id="rId3" Type="http://schemas.openxmlformats.org/officeDocument/2006/relationships/hyperlink" Target="http://amazon.de" TargetMode="External"/><Relationship Id="rId4" Type="http://schemas.openxmlformats.org/officeDocument/2006/relationships/hyperlink" Target="http://computersalg.se" TargetMode="External"/><Relationship Id="rId9" Type="http://schemas.openxmlformats.org/officeDocument/2006/relationships/hyperlink" Target="http://amazon.ca" TargetMode="External"/><Relationship Id="rId5" Type="http://schemas.openxmlformats.org/officeDocument/2006/relationships/hyperlink" Target="http://www.ballicom.co.uk/" TargetMode="External"/><Relationship Id="rId6" Type="http://schemas.openxmlformats.org/officeDocument/2006/relationships/hyperlink" Target="http://www.ballicom.co.uk/" TargetMode="External"/><Relationship Id="rId7" Type="http://schemas.openxmlformats.org/officeDocument/2006/relationships/hyperlink" Target="http://chiptec.net" TargetMode="External"/><Relationship Id="rId8" Type="http://schemas.openxmlformats.org/officeDocument/2006/relationships/hyperlink" Target="http://amazon.com" TargetMode="External"/><Relationship Id="rId40" Type="http://schemas.openxmlformats.org/officeDocument/2006/relationships/hyperlink" Target="http://amazon.com" TargetMode="External"/><Relationship Id="rId42" Type="http://schemas.openxmlformats.org/officeDocument/2006/relationships/hyperlink" Target="http://amazon.com" TargetMode="External"/><Relationship Id="rId41" Type="http://schemas.openxmlformats.org/officeDocument/2006/relationships/hyperlink" Target="http://morele.net" TargetMode="External"/><Relationship Id="rId44" Type="http://schemas.openxmlformats.org/officeDocument/2006/relationships/hyperlink" Target="http://suntech.cz" TargetMode="External"/><Relationship Id="rId43" Type="http://schemas.openxmlformats.org/officeDocument/2006/relationships/hyperlink" Target="http://alza.sk" TargetMode="External"/><Relationship Id="rId46" Type="http://schemas.openxmlformats.org/officeDocument/2006/relationships/hyperlink" Target="http://amazon.ca" TargetMode="External"/><Relationship Id="rId45" Type="http://schemas.openxmlformats.org/officeDocument/2006/relationships/hyperlink" Target="http://hard.rozetka.com.ua" TargetMode="External"/><Relationship Id="rId48" Type="http://schemas.openxmlformats.org/officeDocument/2006/relationships/hyperlink" Target="http://morele.net" TargetMode="External"/><Relationship Id="rId47" Type="http://schemas.openxmlformats.org/officeDocument/2006/relationships/hyperlink" Target="http://newegg.com" TargetMode="External"/><Relationship Id="rId49" Type="http://schemas.openxmlformats.org/officeDocument/2006/relationships/hyperlink" Target="http://amazon.co.au" TargetMode="External"/><Relationship Id="rId31" Type="http://schemas.openxmlformats.org/officeDocument/2006/relationships/hyperlink" Target="https://www.amazon.com/dp/B08T17RQ87?ref=ppx_yo2ov_dt_b_product_details&amp;th=1" TargetMode="External"/><Relationship Id="rId30" Type="http://schemas.openxmlformats.org/officeDocument/2006/relationships/hyperlink" Target="http://amazon.com" TargetMode="External"/><Relationship Id="rId33" Type="http://schemas.openxmlformats.org/officeDocument/2006/relationships/hyperlink" Target="http://amazon.com" TargetMode="External"/><Relationship Id="rId32" Type="http://schemas.openxmlformats.org/officeDocument/2006/relationships/hyperlink" Target="http://amazon.co.uk" TargetMode="External"/><Relationship Id="rId35" Type="http://schemas.openxmlformats.org/officeDocument/2006/relationships/hyperlink" Target="http://amazon.ca" TargetMode="External"/><Relationship Id="rId34" Type="http://schemas.openxmlformats.org/officeDocument/2006/relationships/hyperlink" Target="http://amazon.com" TargetMode="External"/><Relationship Id="rId37" Type="http://schemas.openxmlformats.org/officeDocument/2006/relationships/hyperlink" Target="http://amazon.com" TargetMode="External"/><Relationship Id="rId36" Type="http://schemas.openxmlformats.org/officeDocument/2006/relationships/hyperlink" Target="http://amazon.com" TargetMode="External"/><Relationship Id="rId39" Type="http://schemas.openxmlformats.org/officeDocument/2006/relationships/hyperlink" Target="http://ebay.com" TargetMode="External"/><Relationship Id="rId38" Type="http://schemas.openxmlformats.org/officeDocument/2006/relationships/hyperlink" Target="http://amazon.ca" TargetMode="External"/><Relationship Id="rId20" Type="http://schemas.openxmlformats.org/officeDocument/2006/relationships/hyperlink" Target="http://amazon.com" TargetMode="External"/><Relationship Id="rId22" Type="http://schemas.openxmlformats.org/officeDocument/2006/relationships/hyperlink" Target="https://redgaming.it/" TargetMode="External"/><Relationship Id="rId21" Type="http://schemas.openxmlformats.org/officeDocument/2006/relationships/hyperlink" Target="http://azerty.nl" TargetMode="External"/><Relationship Id="rId24" Type="http://schemas.openxmlformats.org/officeDocument/2006/relationships/hyperlink" Target="http://amazon.com" TargetMode="External"/><Relationship Id="rId23" Type="http://schemas.openxmlformats.org/officeDocument/2006/relationships/hyperlink" Target="http://tradeinn.com" TargetMode="External"/><Relationship Id="rId26" Type="http://schemas.openxmlformats.org/officeDocument/2006/relationships/hyperlink" Target="http://amazon.ca" TargetMode="External"/><Relationship Id="rId25" Type="http://schemas.openxmlformats.org/officeDocument/2006/relationships/hyperlink" Target="http://amazon.com" TargetMode="External"/><Relationship Id="rId28" Type="http://schemas.openxmlformats.org/officeDocument/2006/relationships/hyperlink" Target="http://proshop.dk" TargetMode="External"/><Relationship Id="rId27" Type="http://schemas.openxmlformats.org/officeDocument/2006/relationships/hyperlink" Target="http://amazon.com.au" TargetMode="External"/><Relationship Id="rId29" Type="http://schemas.openxmlformats.org/officeDocument/2006/relationships/hyperlink" Target="http://www.kingstonmemoryshop.co.uk" TargetMode="External"/><Relationship Id="rId11" Type="http://schemas.openxmlformats.org/officeDocument/2006/relationships/hyperlink" Target="http://amazon.com" TargetMode="External"/><Relationship Id="rId10" Type="http://schemas.openxmlformats.org/officeDocument/2006/relationships/hyperlink" Target="http://amazon.com" TargetMode="External"/><Relationship Id="rId13" Type="http://schemas.openxmlformats.org/officeDocument/2006/relationships/hyperlink" Target="http://allegro.pl" TargetMode="External"/><Relationship Id="rId12" Type="http://schemas.openxmlformats.org/officeDocument/2006/relationships/hyperlink" Target="http://crucial.com" TargetMode="External"/><Relationship Id="rId15" Type="http://schemas.openxmlformats.org/officeDocument/2006/relationships/hyperlink" Target="http://megekko.nl" TargetMode="External"/><Relationship Id="rId14" Type="http://schemas.openxmlformats.org/officeDocument/2006/relationships/hyperlink" Target="https://www.csv.de/" TargetMode="External"/><Relationship Id="rId17" Type="http://schemas.openxmlformats.org/officeDocument/2006/relationships/hyperlink" Target="https://www.ebay.com/itm/155672405514" TargetMode="External"/><Relationship Id="rId16" Type="http://schemas.openxmlformats.org/officeDocument/2006/relationships/hyperlink" Target="http://amazon.com" TargetMode="External"/><Relationship Id="rId19" Type="http://schemas.openxmlformats.org/officeDocument/2006/relationships/hyperlink" Target="http://bol.com" TargetMode="External"/><Relationship Id="rId18" Type="http://schemas.openxmlformats.org/officeDocument/2006/relationships/hyperlink" Target="http://amazon.ca" TargetMode="External"/><Relationship Id="rId51" Type="http://schemas.openxmlformats.org/officeDocument/2006/relationships/hyperlink" Target="http://gigatron.rs" TargetMode="External"/><Relationship Id="rId50" Type="http://schemas.openxmlformats.org/officeDocument/2006/relationships/hyperlink" Target="http://amazon.com" TargetMode="External"/><Relationship Id="rId53" Type="http://schemas.openxmlformats.org/officeDocument/2006/relationships/hyperlink" Target="http://amazon.co.uk" TargetMode="External"/><Relationship Id="rId52" Type="http://schemas.openxmlformats.org/officeDocument/2006/relationships/hyperlink" Target="http://ozon.ru" TargetMode="External"/><Relationship Id="rId55" Type="http://schemas.openxmlformats.org/officeDocument/2006/relationships/hyperlink" Target="http://www.lazada.co.th" TargetMode="External"/><Relationship Id="rId54" Type="http://schemas.openxmlformats.org/officeDocument/2006/relationships/hyperlink" Target="http://alternate.be" TargetMode="External"/><Relationship Id="rId5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7.88"/>
    <col customWidth="1" min="3" max="3" width="17.63"/>
    <col customWidth="1" min="4" max="4" width="17.88"/>
    <col customWidth="1" min="5" max="5" width="36.38"/>
    <col customWidth="1" min="6" max="6" width="29.0"/>
    <col customWidth="1" min="7" max="7" width="22.13"/>
    <col customWidth="1" min="8" max="8" width="11.88"/>
    <col customWidth="1" min="9" max="9" width="7.13"/>
    <col customWidth="1" min="10" max="10" width="24.38"/>
    <col customWidth="1" min="11" max="11" width="26.0"/>
    <col customWidth="1" min="12" max="12" width="13.5"/>
    <col customWidth="1" min="13" max="26" width="18.88"/>
  </cols>
  <sheetData>
    <row r="1">
      <c r="A1" s="5" t="s">
        <v>5</v>
      </c>
      <c r="B1" s="5" t="s">
        <v>6</v>
      </c>
      <c r="C1" s="5" t="s">
        <v>7</v>
      </c>
      <c r="D1" s="5" t="s">
        <v>8</v>
      </c>
      <c r="E1" s="5" t="s">
        <v>9</v>
      </c>
      <c r="F1" s="5" t="s">
        <v>10</v>
      </c>
      <c r="G1" s="5" t="s">
        <v>11</v>
      </c>
      <c r="H1" s="5" t="s">
        <v>12</v>
      </c>
      <c r="I1" s="5" t="s">
        <v>13</v>
      </c>
      <c r="J1" s="9" t="s">
        <v>14</v>
      </c>
      <c r="K1" s="10" t="s">
        <v>15</v>
      </c>
      <c r="L1" s="5" t="s">
        <v>16</v>
      </c>
      <c r="M1" s="9" t="s">
        <v>18</v>
      </c>
      <c r="N1" s="9" t="s">
        <v>19</v>
      </c>
      <c r="O1" s="12" t="s">
        <v>20</v>
      </c>
      <c r="P1" s="12" t="s">
        <v>21</v>
      </c>
      <c r="Q1" s="12" t="s">
        <v>22</v>
      </c>
      <c r="R1" s="12" t="s">
        <v>23</v>
      </c>
      <c r="S1" s="12" t="s">
        <v>24</v>
      </c>
      <c r="T1" s="12" t="s">
        <v>25</v>
      </c>
      <c r="U1" s="14"/>
      <c r="V1" s="14"/>
      <c r="W1" s="14"/>
      <c r="X1" s="14"/>
      <c r="Y1" s="14"/>
      <c r="Z1" s="14"/>
    </row>
    <row r="2" ht="15.75" customHeight="1">
      <c r="A2" s="15">
        <v>44940.851607743054</v>
      </c>
      <c r="B2" s="16" t="s">
        <v>2</v>
      </c>
      <c r="C2" s="16" t="s">
        <v>26</v>
      </c>
      <c r="D2" s="16" t="s">
        <v>27</v>
      </c>
      <c r="E2" s="16" t="s">
        <v>28</v>
      </c>
      <c r="F2" s="16">
        <v>2.0</v>
      </c>
      <c r="G2" s="16">
        <v>32.0</v>
      </c>
      <c r="H2" s="16" t="s">
        <v>29</v>
      </c>
      <c r="I2" s="16" t="s">
        <v>29</v>
      </c>
      <c r="J2" s="17"/>
      <c r="K2" s="16" t="s">
        <v>30</v>
      </c>
      <c r="L2" s="16" t="s">
        <v>31</v>
      </c>
      <c r="M2" s="18" t="s">
        <v>32</v>
      </c>
      <c r="N2" s="19" t="s">
        <v>33</v>
      </c>
      <c r="O2" s="20" t="s">
        <v>29</v>
      </c>
      <c r="P2" s="20">
        <v>16.0</v>
      </c>
      <c r="Q2" s="20">
        <v>2666.0</v>
      </c>
      <c r="R2" s="20" t="s">
        <v>34</v>
      </c>
      <c r="S2" s="20" t="s">
        <v>35</v>
      </c>
      <c r="T2" s="21"/>
      <c r="U2" s="22"/>
      <c r="V2" s="22"/>
      <c r="W2" s="22"/>
      <c r="X2" s="22"/>
      <c r="Y2" s="22"/>
      <c r="Z2" s="22"/>
    </row>
    <row r="3" ht="15.75" customHeight="1">
      <c r="A3" s="15">
        <v>44940.8655578125</v>
      </c>
      <c r="B3" s="16" t="s">
        <v>36</v>
      </c>
      <c r="C3" s="16" t="s">
        <v>37</v>
      </c>
      <c r="D3" s="16" t="s">
        <v>38</v>
      </c>
      <c r="E3" s="16" t="s">
        <v>39</v>
      </c>
      <c r="F3" s="22"/>
      <c r="G3" s="22"/>
      <c r="H3" s="16" t="s">
        <v>29</v>
      </c>
      <c r="I3" s="16" t="s">
        <v>40</v>
      </c>
      <c r="J3" s="17"/>
      <c r="K3" s="16" t="s">
        <v>41</v>
      </c>
      <c r="L3" s="22"/>
      <c r="M3" s="17"/>
      <c r="N3" s="17"/>
      <c r="O3" s="23"/>
      <c r="P3" s="23"/>
      <c r="Q3" s="23"/>
      <c r="R3" s="23"/>
      <c r="S3" s="23"/>
      <c r="T3" s="23"/>
      <c r="U3" s="22"/>
      <c r="V3" s="22"/>
      <c r="W3" s="22"/>
      <c r="X3" s="22"/>
      <c r="Y3" s="22"/>
      <c r="Z3" s="22"/>
    </row>
    <row r="4" ht="15.75" customHeight="1">
      <c r="A4" s="15">
        <v>44940.88572560185</v>
      </c>
      <c r="B4" s="16" t="s">
        <v>42</v>
      </c>
      <c r="C4" s="16" t="s">
        <v>37</v>
      </c>
      <c r="D4" s="16" t="s">
        <v>38</v>
      </c>
      <c r="E4" s="16" t="s">
        <v>43</v>
      </c>
      <c r="F4" s="16">
        <v>2.0</v>
      </c>
      <c r="G4" s="16">
        <v>32.0</v>
      </c>
      <c r="H4" s="16" t="s">
        <v>29</v>
      </c>
      <c r="I4" s="16" t="s">
        <v>40</v>
      </c>
      <c r="J4" s="17"/>
      <c r="K4" s="16" t="s">
        <v>44</v>
      </c>
      <c r="L4" s="22"/>
      <c r="M4" s="17"/>
      <c r="N4" s="17"/>
      <c r="O4" s="22"/>
      <c r="P4" s="22"/>
      <c r="Q4" s="22"/>
      <c r="R4" s="22"/>
      <c r="S4" s="22"/>
      <c r="T4" s="22"/>
      <c r="U4" s="22"/>
      <c r="V4" s="22"/>
      <c r="W4" s="22"/>
      <c r="X4" s="22"/>
      <c r="Y4" s="22"/>
      <c r="Z4" s="22"/>
    </row>
    <row r="5" ht="15.75" customHeight="1">
      <c r="A5" s="15">
        <v>44940.960344583335</v>
      </c>
      <c r="B5" s="16" t="s">
        <v>45</v>
      </c>
      <c r="C5" s="16" t="s">
        <v>46</v>
      </c>
      <c r="D5" s="16" t="s">
        <v>47</v>
      </c>
      <c r="E5" s="16" t="s">
        <v>48</v>
      </c>
      <c r="F5" s="16">
        <v>2.0</v>
      </c>
      <c r="G5" s="16">
        <v>32.0</v>
      </c>
      <c r="H5" s="16" t="s">
        <v>29</v>
      </c>
      <c r="I5" s="16" t="s">
        <v>40</v>
      </c>
      <c r="J5" s="17"/>
      <c r="K5" s="16" t="s">
        <v>49</v>
      </c>
      <c r="L5" s="22"/>
      <c r="M5" s="25" t="s">
        <v>50</v>
      </c>
      <c r="N5" s="17"/>
      <c r="O5" s="16" t="s">
        <v>29</v>
      </c>
      <c r="P5" s="26"/>
      <c r="Q5" s="26"/>
      <c r="R5" s="26"/>
      <c r="S5" s="26"/>
      <c r="T5" s="26"/>
      <c r="U5" s="22"/>
      <c r="V5" s="22"/>
      <c r="W5" s="22"/>
      <c r="X5" s="22"/>
      <c r="Y5" s="22"/>
      <c r="Z5" s="22"/>
    </row>
    <row r="6" ht="15.75" customHeight="1">
      <c r="A6" s="15">
        <v>44940.962741967596</v>
      </c>
      <c r="B6" s="16" t="s">
        <v>42</v>
      </c>
      <c r="C6" s="16" t="s">
        <v>51</v>
      </c>
      <c r="D6" s="16" t="s">
        <v>27</v>
      </c>
      <c r="E6" s="16" t="s">
        <v>52</v>
      </c>
      <c r="F6" s="16">
        <v>2.0</v>
      </c>
      <c r="G6" s="16">
        <v>32.0</v>
      </c>
      <c r="H6" s="16" t="s">
        <v>29</v>
      </c>
      <c r="I6" s="16" t="s">
        <v>29</v>
      </c>
      <c r="J6" s="17"/>
      <c r="K6" s="16" t="s">
        <v>53</v>
      </c>
      <c r="L6" s="22"/>
      <c r="M6" s="17"/>
      <c r="N6" s="17"/>
      <c r="O6" s="16" t="s">
        <v>40</v>
      </c>
      <c r="P6" s="26"/>
      <c r="Q6" s="26"/>
      <c r="R6" s="26"/>
      <c r="S6" s="26"/>
      <c r="T6" s="26"/>
      <c r="U6" s="22"/>
      <c r="V6" s="22"/>
      <c r="W6" s="22"/>
      <c r="X6" s="22"/>
      <c r="Y6" s="22"/>
      <c r="Z6" s="22"/>
    </row>
    <row r="7" ht="15.75" customHeight="1">
      <c r="A7" s="15">
        <v>44941.039388310186</v>
      </c>
      <c r="B7" s="16" t="s">
        <v>54</v>
      </c>
      <c r="C7" s="16" t="s">
        <v>51</v>
      </c>
      <c r="D7" s="16" t="s">
        <v>27</v>
      </c>
      <c r="E7" s="16" t="s">
        <v>55</v>
      </c>
      <c r="F7" s="16">
        <v>2.0</v>
      </c>
      <c r="G7" s="16">
        <v>64.0</v>
      </c>
      <c r="H7" s="16" t="s">
        <v>29</v>
      </c>
      <c r="I7" s="16" t="s">
        <v>29</v>
      </c>
      <c r="J7" s="17"/>
      <c r="K7" s="16" t="s">
        <v>56</v>
      </c>
      <c r="L7" s="22"/>
      <c r="M7" s="17"/>
      <c r="N7" s="17"/>
      <c r="O7" s="16" t="s">
        <v>29</v>
      </c>
      <c r="P7" s="26"/>
      <c r="Q7" s="26"/>
      <c r="R7" s="26"/>
      <c r="S7" s="26"/>
      <c r="T7" s="26"/>
      <c r="U7" s="22"/>
      <c r="V7" s="22"/>
      <c r="W7" s="22"/>
      <c r="X7" s="22"/>
      <c r="Y7" s="22"/>
      <c r="Z7" s="22"/>
    </row>
    <row r="8" ht="15.75" customHeight="1">
      <c r="A8" s="15">
        <v>44941.040197685186</v>
      </c>
      <c r="B8" s="16" t="s">
        <v>36</v>
      </c>
      <c r="C8" s="16" t="s">
        <v>51</v>
      </c>
      <c r="D8" s="16" t="s">
        <v>38</v>
      </c>
      <c r="E8" s="16" t="s">
        <v>57</v>
      </c>
      <c r="F8" s="22"/>
      <c r="G8" s="22"/>
      <c r="H8" s="16" t="s">
        <v>29</v>
      </c>
      <c r="I8" s="16" t="s">
        <v>40</v>
      </c>
      <c r="J8" s="17"/>
      <c r="K8" s="16" t="s">
        <v>58</v>
      </c>
      <c r="L8" s="22"/>
      <c r="M8" s="17"/>
      <c r="N8" s="17"/>
      <c r="O8" s="22"/>
      <c r="P8" s="22"/>
      <c r="Q8" s="22"/>
      <c r="R8" s="22"/>
      <c r="S8" s="22"/>
      <c r="T8" s="22"/>
      <c r="U8" s="22"/>
      <c r="V8" s="22"/>
      <c r="W8" s="22"/>
      <c r="X8" s="22"/>
      <c r="Y8" s="22"/>
      <c r="Z8" s="22"/>
    </row>
    <row r="9" ht="15.75" customHeight="1">
      <c r="A9" s="15">
        <v>44941.04242828704</v>
      </c>
      <c r="B9" s="16" t="s">
        <v>36</v>
      </c>
      <c r="C9" s="16" t="s">
        <v>37</v>
      </c>
      <c r="D9" s="16" t="s">
        <v>38</v>
      </c>
      <c r="E9" s="16" t="s">
        <v>59</v>
      </c>
      <c r="F9" s="22"/>
      <c r="G9" s="22"/>
      <c r="H9" s="16" t="s">
        <v>29</v>
      </c>
      <c r="I9" s="16" t="s">
        <v>40</v>
      </c>
      <c r="J9" s="17"/>
      <c r="K9" s="16" t="s">
        <v>60</v>
      </c>
      <c r="L9" s="22"/>
      <c r="M9" s="17"/>
      <c r="N9" s="17"/>
      <c r="O9" s="22"/>
      <c r="P9" s="22"/>
      <c r="Q9" s="22"/>
      <c r="R9" s="22"/>
      <c r="S9" s="22"/>
      <c r="T9" s="22"/>
      <c r="U9" s="22"/>
      <c r="V9" s="22"/>
      <c r="W9" s="22"/>
      <c r="X9" s="22"/>
      <c r="Y9" s="22"/>
      <c r="Z9" s="22"/>
    </row>
    <row r="10" ht="15.75" customHeight="1">
      <c r="A10" s="15">
        <v>44941.043896550924</v>
      </c>
      <c r="B10" s="16" t="s">
        <v>61</v>
      </c>
      <c r="C10" s="16" t="s">
        <v>62</v>
      </c>
      <c r="D10" s="16" t="s">
        <v>63</v>
      </c>
      <c r="E10" s="16" t="s">
        <v>64</v>
      </c>
      <c r="F10" s="22"/>
      <c r="G10" s="22"/>
      <c r="H10" s="16" t="s">
        <v>29</v>
      </c>
      <c r="I10" s="16" t="s">
        <v>40</v>
      </c>
      <c r="J10" s="17"/>
      <c r="K10" s="16" t="s">
        <v>65</v>
      </c>
      <c r="L10" s="22"/>
      <c r="M10" s="17"/>
      <c r="N10" s="17"/>
      <c r="O10" s="22"/>
      <c r="P10" s="22"/>
      <c r="Q10" s="22"/>
      <c r="R10" s="22"/>
      <c r="S10" s="22"/>
      <c r="T10" s="22"/>
      <c r="U10" s="22"/>
      <c r="V10" s="22"/>
      <c r="W10" s="22"/>
      <c r="X10" s="22"/>
      <c r="Y10" s="22"/>
      <c r="Z10" s="22"/>
    </row>
    <row r="11" ht="15.75" customHeight="1">
      <c r="A11" s="15">
        <v>44941.05070787037</v>
      </c>
      <c r="B11" s="16" t="s">
        <v>66</v>
      </c>
      <c r="C11" s="16" t="s">
        <v>67</v>
      </c>
      <c r="D11" s="16" t="s">
        <v>38</v>
      </c>
      <c r="E11" s="16" t="s">
        <v>68</v>
      </c>
      <c r="F11" s="22"/>
      <c r="G11" s="22"/>
      <c r="H11" s="16" t="s">
        <v>29</v>
      </c>
      <c r="I11" s="16" t="s">
        <v>40</v>
      </c>
      <c r="J11" s="17"/>
      <c r="K11" s="16" t="s">
        <v>69</v>
      </c>
      <c r="L11" s="22"/>
      <c r="M11" s="17"/>
      <c r="N11" s="17"/>
      <c r="O11" s="22"/>
      <c r="P11" s="16">
        <v>8.0</v>
      </c>
      <c r="Q11" s="26"/>
      <c r="R11" s="26"/>
      <c r="S11" s="26"/>
      <c r="T11" s="22"/>
      <c r="U11" s="22"/>
      <c r="V11" s="22"/>
      <c r="W11" s="22"/>
      <c r="X11" s="22"/>
      <c r="Y11" s="22"/>
      <c r="Z11" s="22"/>
    </row>
    <row r="12" ht="15.75" customHeight="1">
      <c r="A12" s="15">
        <v>44941.05191190972</v>
      </c>
      <c r="B12" s="16" t="s">
        <v>45</v>
      </c>
      <c r="C12" s="16" t="s">
        <v>70</v>
      </c>
      <c r="D12" s="16" t="s">
        <v>71</v>
      </c>
      <c r="E12" s="16" t="s">
        <v>72</v>
      </c>
      <c r="F12" s="16">
        <v>2.0</v>
      </c>
      <c r="G12" s="16">
        <v>32.0</v>
      </c>
      <c r="H12" s="16" t="s">
        <v>29</v>
      </c>
      <c r="I12" s="16" t="s">
        <v>40</v>
      </c>
      <c r="J12" s="17"/>
      <c r="K12" s="16" t="s">
        <v>73</v>
      </c>
      <c r="L12" s="22"/>
      <c r="M12" s="17"/>
      <c r="N12" s="17"/>
      <c r="O12" s="16" t="s">
        <v>29</v>
      </c>
      <c r="P12" s="16">
        <v>16.0</v>
      </c>
      <c r="Q12" s="26"/>
      <c r="R12" s="26"/>
      <c r="S12" s="26"/>
      <c r="T12" s="22"/>
      <c r="U12" s="22"/>
      <c r="V12" s="22"/>
      <c r="W12" s="22"/>
      <c r="X12" s="22"/>
      <c r="Y12" s="22"/>
      <c r="Z12" s="22"/>
    </row>
    <row r="13" ht="15.75" customHeight="1">
      <c r="A13" s="15">
        <v>44941.052592395834</v>
      </c>
      <c r="B13" s="16" t="s">
        <v>74</v>
      </c>
      <c r="C13" s="16" t="s">
        <v>37</v>
      </c>
      <c r="D13" s="16" t="s">
        <v>38</v>
      </c>
      <c r="E13" s="16" t="s">
        <v>75</v>
      </c>
      <c r="F13" s="22"/>
      <c r="G13" s="22"/>
      <c r="H13" s="16" t="s">
        <v>29</v>
      </c>
      <c r="I13" s="16" t="s">
        <v>40</v>
      </c>
      <c r="J13" s="17"/>
      <c r="K13" s="16" t="s">
        <v>76</v>
      </c>
      <c r="L13" s="22"/>
      <c r="M13" s="17"/>
      <c r="N13" s="17"/>
      <c r="O13" s="22"/>
      <c r="P13" s="16">
        <v>8.0</v>
      </c>
      <c r="Q13" s="26"/>
      <c r="R13" s="26"/>
      <c r="S13" s="26"/>
      <c r="T13" s="22"/>
      <c r="U13" s="22"/>
      <c r="V13" s="22"/>
      <c r="W13" s="22"/>
      <c r="X13" s="22"/>
      <c r="Y13" s="22"/>
      <c r="Z13" s="22"/>
    </row>
    <row r="14" ht="15.75" customHeight="1">
      <c r="A14" s="15">
        <v>44941.05407917824</v>
      </c>
      <c r="B14" s="16" t="s">
        <v>36</v>
      </c>
      <c r="C14" s="16" t="s">
        <v>46</v>
      </c>
      <c r="D14" s="16" t="s">
        <v>27</v>
      </c>
      <c r="E14" s="16" t="s">
        <v>77</v>
      </c>
      <c r="F14" s="22"/>
      <c r="G14" s="22"/>
      <c r="H14" s="16" t="s">
        <v>29</v>
      </c>
      <c r="I14" s="16" t="s">
        <v>29</v>
      </c>
      <c r="J14" s="17"/>
      <c r="K14" s="16" t="s">
        <v>78</v>
      </c>
      <c r="L14" s="22"/>
      <c r="M14" s="17"/>
      <c r="N14" s="17"/>
      <c r="O14" s="22"/>
      <c r="P14" s="16">
        <v>8.0</v>
      </c>
      <c r="Q14" s="26"/>
      <c r="R14" s="26"/>
      <c r="S14" s="26"/>
      <c r="T14" s="22"/>
      <c r="U14" s="22"/>
      <c r="V14" s="22"/>
      <c r="W14" s="22"/>
      <c r="X14" s="22"/>
      <c r="Y14" s="22"/>
      <c r="Z14" s="22"/>
    </row>
    <row r="15" ht="15.75" customHeight="1">
      <c r="A15" s="15">
        <v>44941.054852037036</v>
      </c>
      <c r="B15" s="16" t="s">
        <v>79</v>
      </c>
      <c r="C15" s="16" t="s">
        <v>37</v>
      </c>
      <c r="D15" s="16" t="s">
        <v>47</v>
      </c>
      <c r="E15" s="16" t="s">
        <v>80</v>
      </c>
      <c r="F15" s="16">
        <v>4.0</v>
      </c>
      <c r="G15" s="16">
        <v>64.0</v>
      </c>
      <c r="H15" s="16" t="s">
        <v>29</v>
      </c>
      <c r="I15" s="16" t="s">
        <v>29</v>
      </c>
      <c r="J15" s="17"/>
      <c r="K15" s="16" t="s">
        <v>81</v>
      </c>
      <c r="L15" s="22"/>
      <c r="M15" s="17"/>
      <c r="N15" s="17"/>
      <c r="O15" s="16" t="s">
        <v>29</v>
      </c>
      <c r="P15" s="16">
        <v>16.0</v>
      </c>
      <c r="Q15" s="26"/>
      <c r="R15" s="26"/>
      <c r="S15" s="26"/>
      <c r="T15" s="22"/>
      <c r="U15" s="22"/>
      <c r="V15" s="22"/>
      <c r="W15" s="22"/>
      <c r="X15" s="22"/>
      <c r="Y15" s="22"/>
      <c r="Z15" s="22"/>
    </row>
    <row r="16" ht="15.75" customHeight="1">
      <c r="A16" s="15">
        <v>44941.061580856476</v>
      </c>
      <c r="B16" s="16" t="s">
        <v>82</v>
      </c>
      <c r="C16" s="16" t="s">
        <v>37</v>
      </c>
      <c r="D16" s="16" t="s">
        <v>38</v>
      </c>
      <c r="E16" s="16" t="s">
        <v>83</v>
      </c>
      <c r="F16" s="16">
        <v>2.0</v>
      </c>
      <c r="G16" s="22"/>
      <c r="H16" s="16" t="s">
        <v>29</v>
      </c>
      <c r="I16" s="16" t="s">
        <v>40</v>
      </c>
      <c r="J16" s="17"/>
      <c r="K16" s="16" t="s">
        <v>84</v>
      </c>
      <c r="L16" s="22"/>
      <c r="M16" s="25" t="s">
        <v>50</v>
      </c>
      <c r="N16" s="17"/>
      <c r="O16" s="22"/>
      <c r="P16" s="16">
        <v>8.0</v>
      </c>
      <c r="Q16" s="26"/>
      <c r="R16" s="26"/>
      <c r="S16" s="26"/>
      <c r="T16" s="22"/>
      <c r="U16" s="22"/>
      <c r="V16" s="22"/>
      <c r="W16" s="22"/>
      <c r="X16" s="22"/>
      <c r="Y16" s="22"/>
      <c r="Z16" s="22"/>
    </row>
    <row r="17" ht="15.75" customHeight="1">
      <c r="A17" s="15">
        <v>44941.063468333334</v>
      </c>
      <c r="B17" s="16" t="s">
        <v>61</v>
      </c>
      <c r="C17" s="16" t="s">
        <v>62</v>
      </c>
      <c r="D17" s="16" t="s">
        <v>38</v>
      </c>
      <c r="E17" s="16" t="s">
        <v>83</v>
      </c>
      <c r="F17" s="16">
        <v>2.0</v>
      </c>
      <c r="G17" s="16">
        <v>16.0</v>
      </c>
      <c r="H17" s="16" t="s">
        <v>29</v>
      </c>
      <c r="I17" s="16" t="s">
        <v>40</v>
      </c>
      <c r="J17" s="17"/>
      <c r="K17" s="16" t="s">
        <v>85</v>
      </c>
      <c r="L17" s="22"/>
      <c r="M17" s="17"/>
      <c r="N17" s="17"/>
      <c r="O17" s="22"/>
      <c r="P17" s="16">
        <v>8.0</v>
      </c>
      <c r="Q17" s="26"/>
      <c r="R17" s="26"/>
      <c r="S17" s="26"/>
      <c r="T17" s="22"/>
      <c r="U17" s="22"/>
      <c r="V17" s="22"/>
      <c r="W17" s="22"/>
      <c r="X17" s="22"/>
      <c r="Y17" s="22"/>
      <c r="Z17" s="22"/>
    </row>
    <row r="18" ht="15.75" customHeight="1">
      <c r="A18" s="15">
        <v>44941.0648471412</v>
      </c>
      <c r="B18" s="16" t="s">
        <v>61</v>
      </c>
      <c r="C18" s="22"/>
      <c r="D18" s="16" t="s">
        <v>86</v>
      </c>
      <c r="E18" s="16" t="s">
        <v>87</v>
      </c>
      <c r="F18" s="16">
        <v>2.0</v>
      </c>
      <c r="G18" s="22"/>
      <c r="H18" s="16" t="s">
        <v>40</v>
      </c>
      <c r="I18" s="22"/>
      <c r="J18" s="19" t="s">
        <v>88</v>
      </c>
      <c r="K18" s="16" t="s">
        <v>85</v>
      </c>
      <c r="L18" s="22"/>
      <c r="M18" s="17"/>
      <c r="N18" s="17"/>
      <c r="O18" s="22"/>
      <c r="P18" s="16">
        <v>8.0</v>
      </c>
      <c r="Q18" s="26"/>
      <c r="R18" s="26"/>
      <c r="S18" s="26"/>
      <c r="T18" s="22"/>
      <c r="U18" s="22"/>
      <c r="V18" s="22"/>
      <c r="W18" s="22"/>
      <c r="X18" s="22"/>
      <c r="Y18" s="22"/>
      <c r="Z18" s="22"/>
    </row>
    <row r="19" ht="15.75" customHeight="1">
      <c r="A19" s="15">
        <v>44941.066423032404</v>
      </c>
      <c r="B19" s="16" t="s">
        <v>42</v>
      </c>
      <c r="C19" s="16" t="s">
        <v>46</v>
      </c>
      <c r="D19" s="16" t="s">
        <v>89</v>
      </c>
      <c r="E19" s="16" t="s">
        <v>90</v>
      </c>
      <c r="F19" s="16">
        <v>1.0</v>
      </c>
      <c r="G19" s="16">
        <v>36.0</v>
      </c>
      <c r="H19" s="16" t="s">
        <v>29</v>
      </c>
      <c r="I19" s="16" t="s">
        <v>40</v>
      </c>
      <c r="J19" s="17"/>
      <c r="K19" s="16" t="s">
        <v>91</v>
      </c>
      <c r="L19" s="22"/>
      <c r="M19" s="25" t="s">
        <v>92</v>
      </c>
      <c r="N19" s="17"/>
      <c r="O19" s="16" t="s">
        <v>29</v>
      </c>
      <c r="P19" s="16">
        <v>32.0</v>
      </c>
      <c r="Q19" s="26"/>
      <c r="R19" s="26"/>
      <c r="S19" s="26"/>
      <c r="T19" s="22"/>
      <c r="U19" s="22"/>
      <c r="V19" s="22"/>
      <c r="W19" s="22"/>
      <c r="X19" s="22"/>
      <c r="Y19" s="22"/>
      <c r="Z19" s="22"/>
    </row>
    <row r="20" ht="15.75" customHeight="1">
      <c r="A20" s="15">
        <v>44942.54247613426</v>
      </c>
      <c r="B20" s="16" t="s">
        <v>36</v>
      </c>
      <c r="C20" s="16" t="s">
        <v>46</v>
      </c>
      <c r="D20" s="16" t="s">
        <v>27</v>
      </c>
      <c r="E20" s="16" t="s">
        <v>77</v>
      </c>
      <c r="F20" s="16">
        <v>1.0</v>
      </c>
      <c r="G20" s="16">
        <v>12.0</v>
      </c>
      <c r="H20" s="16" t="s">
        <v>29</v>
      </c>
      <c r="I20" s="16" t="s">
        <v>29</v>
      </c>
      <c r="J20" s="17"/>
      <c r="K20" s="16" t="s">
        <v>78</v>
      </c>
      <c r="L20" s="16" t="s">
        <v>93</v>
      </c>
      <c r="M20" s="19" t="s">
        <v>94</v>
      </c>
      <c r="N20" s="17"/>
      <c r="O20" s="16" t="s">
        <v>40</v>
      </c>
      <c r="P20" s="16">
        <v>8.0</v>
      </c>
      <c r="Q20" s="26"/>
      <c r="R20" s="26"/>
      <c r="S20" s="26"/>
      <c r="T20" s="22"/>
      <c r="U20" s="22"/>
      <c r="V20" s="22"/>
      <c r="W20" s="22"/>
      <c r="X20" s="22"/>
      <c r="Y20" s="22"/>
      <c r="Z20" s="22"/>
    </row>
    <row r="21" ht="15.75" customHeight="1">
      <c r="A21" s="15">
        <v>44943.75334471065</v>
      </c>
      <c r="B21" s="16" t="s">
        <v>95</v>
      </c>
      <c r="C21" s="16" t="s">
        <v>37</v>
      </c>
      <c r="D21" s="16" t="s">
        <v>89</v>
      </c>
      <c r="E21" s="16" t="s">
        <v>96</v>
      </c>
      <c r="F21" s="22"/>
      <c r="G21" s="16">
        <v>2.0</v>
      </c>
      <c r="H21" s="16" t="s">
        <v>29</v>
      </c>
      <c r="I21" s="16" t="s">
        <v>40</v>
      </c>
      <c r="J21" s="17"/>
      <c r="K21" s="22"/>
      <c r="L21" s="22"/>
      <c r="M21" s="25" t="s">
        <v>97</v>
      </c>
      <c r="N21" s="19" t="s">
        <v>98</v>
      </c>
      <c r="O21" s="16" t="s">
        <v>29</v>
      </c>
      <c r="P21" s="16">
        <v>16.0</v>
      </c>
      <c r="Q21" s="26"/>
      <c r="R21" s="26"/>
      <c r="S21" s="26"/>
      <c r="T21" s="22"/>
      <c r="U21" s="22"/>
      <c r="V21" s="22"/>
      <c r="W21" s="22"/>
      <c r="X21" s="22"/>
      <c r="Y21" s="22"/>
      <c r="Z21" s="22"/>
    </row>
    <row r="22" ht="15.75" customHeight="1">
      <c r="A22" s="15">
        <v>44944.0079577662</v>
      </c>
      <c r="B22" s="16" t="s">
        <v>99</v>
      </c>
      <c r="C22" s="16" t="s">
        <v>100</v>
      </c>
      <c r="D22" s="16" t="s">
        <v>101</v>
      </c>
      <c r="E22" s="16" t="s">
        <v>102</v>
      </c>
      <c r="F22" s="16">
        <v>1.0</v>
      </c>
      <c r="G22" s="16">
        <v>16.0</v>
      </c>
      <c r="H22" s="16" t="s">
        <v>29</v>
      </c>
      <c r="I22" s="16" t="s">
        <v>40</v>
      </c>
      <c r="J22" s="17"/>
      <c r="K22" s="22"/>
      <c r="L22" s="16" t="s">
        <v>103</v>
      </c>
      <c r="M22" s="25" t="s">
        <v>104</v>
      </c>
      <c r="N22" s="17"/>
      <c r="O22" s="16" t="s">
        <v>29</v>
      </c>
      <c r="P22" s="16">
        <v>16.0</v>
      </c>
      <c r="Q22" s="26"/>
      <c r="R22" s="26"/>
      <c r="S22" s="26"/>
      <c r="T22" s="22"/>
      <c r="U22" s="22"/>
      <c r="V22" s="22"/>
      <c r="W22" s="22"/>
      <c r="X22" s="22"/>
      <c r="Y22" s="22"/>
      <c r="Z22" s="22"/>
    </row>
    <row r="23" ht="15.75" customHeight="1">
      <c r="A23" s="15">
        <v>44945.063078067134</v>
      </c>
      <c r="B23" s="16" t="s">
        <v>36</v>
      </c>
      <c r="C23" s="16" t="s">
        <v>51</v>
      </c>
      <c r="D23" s="16" t="s">
        <v>38</v>
      </c>
      <c r="E23" s="16" t="s">
        <v>39</v>
      </c>
      <c r="F23" s="16">
        <v>1.0</v>
      </c>
      <c r="G23" s="16">
        <v>20.0</v>
      </c>
      <c r="H23" s="16" t="s">
        <v>29</v>
      </c>
      <c r="I23" s="16" t="s">
        <v>40</v>
      </c>
      <c r="J23" s="17"/>
      <c r="K23" s="16" t="s">
        <v>105</v>
      </c>
      <c r="L23" s="22"/>
      <c r="M23" s="25" t="s">
        <v>106</v>
      </c>
      <c r="N23" s="17"/>
      <c r="O23" s="16" t="s">
        <v>40</v>
      </c>
      <c r="P23" s="16">
        <v>16.0</v>
      </c>
      <c r="Q23" s="26"/>
      <c r="R23" s="26"/>
      <c r="S23" s="26"/>
      <c r="T23" s="22"/>
      <c r="U23" s="22"/>
      <c r="V23" s="22"/>
      <c r="W23" s="22"/>
      <c r="X23" s="22"/>
      <c r="Y23" s="22"/>
      <c r="Z23" s="22"/>
    </row>
    <row r="24" ht="15.75" customHeight="1">
      <c r="A24" s="15">
        <v>44947.94725539352</v>
      </c>
      <c r="B24" s="16" t="s">
        <v>36</v>
      </c>
      <c r="C24" s="16" t="s">
        <v>100</v>
      </c>
      <c r="D24" s="16" t="s">
        <v>107</v>
      </c>
      <c r="E24" s="16" t="s">
        <v>108</v>
      </c>
      <c r="F24" s="16">
        <v>1.0</v>
      </c>
      <c r="G24" s="16">
        <v>20.0</v>
      </c>
      <c r="H24" s="16" t="s">
        <v>29</v>
      </c>
      <c r="I24" s="16" t="s">
        <v>40</v>
      </c>
      <c r="J24" s="17"/>
      <c r="K24" s="22"/>
      <c r="L24" s="22"/>
      <c r="M24" s="19" t="s">
        <v>109</v>
      </c>
      <c r="N24" s="17"/>
      <c r="O24" s="16" t="s">
        <v>40</v>
      </c>
      <c r="P24" s="16">
        <v>16.0</v>
      </c>
      <c r="Q24" s="26"/>
      <c r="R24" s="26"/>
      <c r="S24" s="26"/>
      <c r="T24" s="22"/>
      <c r="U24" s="22"/>
      <c r="V24" s="22"/>
      <c r="W24" s="22"/>
      <c r="X24" s="22"/>
      <c r="Y24" s="22"/>
      <c r="Z24" s="22"/>
    </row>
    <row r="25" ht="15.75" customHeight="1">
      <c r="A25" s="15">
        <v>44950.1806115162</v>
      </c>
      <c r="B25" s="16" t="s">
        <v>45</v>
      </c>
      <c r="C25" s="16" t="s">
        <v>37</v>
      </c>
      <c r="D25" s="16" t="s">
        <v>101</v>
      </c>
      <c r="E25" s="16" t="s">
        <v>102</v>
      </c>
      <c r="F25" s="16">
        <v>2.0</v>
      </c>
      <c r="G25" s="16">
        <v>32.0</v>
      </c>
      <c r="H25" s="16" t="s">
        <v>29</v>
      </c>
      <c r="I25" s="16" t="s">
        <v>40</v>
      </c>
      <c r="J25" s="17"/>
      <c r="K25" s="16" t="s">
        <v>110</v>
      </c>
      <c r="L25" s="16" t="s">
        <v>111</v>
      </c>
      <c r="M25" s="25" t="s">
        <v>112</v>
      </c>
      <c r="N25" s="19" t="s">
        <v>113</v>
      </c>
      <c r="O25" s="16" t="s">
        <v>29</v>
      </c>
      <c r="P25" s="16">
        <v>16.0</v>
      </c>
      <c r="Q25" s="26"/>
      <c r="R25" s="26"/>
      <c r="S25" s="26"/>
      <c r="T25" s="22"/>
      <c r="U25" s="22"/>
      <c r="V25" s="22"/>
      <c r="W25" s="22"/>
      <c r="X25" s="22"/>
      <c r="Y25" s="22"/>
      <c r="Z25" s="22"/>
    </row>
    <row r="26" ht="15.75" customHeight="1">
      <c r="A26" s="15">
        <v>44952.82259465278</v>
      </c>
      <c r="B26" s="16" t="s">
        <v>42</v>
      </c>
      <c r="C26" s="16" t="s">
        <v>37</v>
      </c>
      <c r="D26" s="16" t="s">
        <v>27</v>
      </c>
      <c r="E26" s="16" t="s">
        <v>114</v>
      </c>
      <c r="F26" s="16">
        <v>2.0</v>
      </c>
      <c r="G26" s="16">
        <v>64.0</v>
      </c>
      <c r="H26" s="16" t="s">
        <v>29</v>
      </c>
      <c r="I26" s="16" t="s">
        <v>29</v>
      </c>
      <c r="J26" s="17"/>
      <c r="K26" s="16" t="s">
        <v>115</v>
      </c>
      <c r="L26" s="16" t="s">
        <v>111</v>
      </c>
      <c r="M26" s="25" t="s">
        <v>116</v>
      </c>
      <c r="N26" s="19" t="s">
        <v>117</v>
      </c>
      <c r="O26" s="16" t="s">
        <v>40</v>
      </c>
      <c r="P26" s="16">
        <v>32.0</v>
      </c>
      <c r="Q26" s="26"/>
      <c r="R26" s="26"/>
      <c r="S26" s="26"/>
      <c r="T26" s="22"/>
      <c r="U26" s="22"/>
      <c r="V26" s="22"/>
      <c r="W26" s="22"/>
      <c r="X26" s="22"/>
      <c r="Y26" s="22"/>
      <c r="Z26" s="22"/>
    </row>
    <row r="27" ht="15.75" customHeight="1">
      <c r="A27" s="15">
        <v>44952.920963020835</v>
      </c>
      <c r="B27" s="16" t="s">
        <v>118</v>
      </c>
      <c r="C27" s="16" t="s">
        <v>51</v>
      </c>
      <c r="D27" s="16" t="s">
        <v>119</v>
      </c>
      <c r="E27" s="16" t="s">
        <v>120</v>
      </c>
      <c r="F27" s="16">
        <v>1.0</v>
      </c>
      <c r="G27" s="16">
        <v>10.0</v>
      </c>
      <c r="H27" s="16" t="s">
        <v>29</v>
      </c>
      <c r="I27" s="16" t="s">
        <v>40</v>
      </c>
      <c r="J27" s="17"/>
      <c r="K27" s="16" t="s">
        <v>121</v>
      </c>
      <c r="L27" s="16" t="s">
        <v>103</v>
      </c>
      <c r="M27" s="25" t="s">
        <v>122</v>
      </c>
      <c r="N27" s="19" t="s">
        <v>123</v>
      </c>
      <c r="O27" s="16" t="s">
        <v>40</v>
      </c>
      <c r="P27" s="16">
        <v>8.0</v>
      </c>
      <c r="Q27" s="26"/>
      <c r="R27" s="26"/>
      <c r="S27" s="26"/>
      <c r="T27" s="22"/>
      <c r="U27" s="22"/>
      <c r="V27" s="22"/>
      <c r="W27" s="22"/>
      <c r="X27" s="22"/>
      <c r="Y27" s="22"/>
      <c r="Z27" s="22"/>
    </row>
    <row r="28" ht="15.75" customHeight="1">
      <c r="A28" s="15">
        <v>44956.602187847224</v>
      </c>
      <c r="B28" s="16" t="s">
        <v>2</v>
      </c>
      <c r="C28" s="22"/>
      <c r="D28" s="16" t="s">
        <v>27</v>
      </c>
      <c r="E28" s="16" t="s">
        <v>28</v>
      </c>
      <c r="F28" s="22"/>
      <c r="G28" s="22"/>
      <c r="H28" s="16" t="s">
        <v>29</v>
      </c>
      <c r="I28" s="22"/>
      <c r="J28" s="17"/>
      <c r="K28" s="22"/>
      <c r="L28" s="22"/>
      <c r="M28" s="17"/>
      <c r="N28" s="17"/>
      <c r="O28" s="22"/>
      <c r="P28" s="22"/>
      <c r="Q28" s="22"/>
      <c r="R28" s="22"/>
      <c r="S28" s="22"/>
      <c r="T28" s="22"/>
      <c r="U28" s="22"/>
      <c r="V28" s="22"/>
      <c r="W28" s="22"/>
      <c r="X28" s="22"/>
      <c r="Y28" s="22"/>
      <c r="Z28" s="22"/>
    </row>
    <row r="29" ht="15.75" customHeight="1">
      <c r="A29" s="15">
        <v>44958.55689777777</v>
      </c>
      <c r="B29" s="16" t="s">
        <v>124</v>
      </c>
      <c r="C29" s="16" t="s">
        <v>51</v>
      </c>
      <c r="D29" s="16" t="s">
        <v>38</v>
      </c>
      <c r="E29" s="16" t="s">
        <v>57</v>
      </c>
      <c r="F29" s="16">
        <v>1.0</v>
      </c>
      <c r="G29" s="16">
        <v>6.0</v>
      </c>
      <c r="H29" s="16" t="s">
        <v>29</v>
      </c>
      <c r="I29" s="16" t="s">
        <v>40</v>
      </c>
      <c r="J29" s="17"/>
      <c r="K29" s="16" t="s">
        <v>125</v>
      </c>
      <c r="L29" s="22"/>
      <c r="M29" s="17"/>
      <c r="N29" s="17"/>
      <c r="O29" s="16" t="s">
        <v>126</v>
      </c>
      <c r="P29" s="16">
        <v>4.0</v>
      </c>
      <c r="Q29" s="26"/>
      <c r="R29" s="26"/>
      <c r="S29" s="26"/>
      <c r="T29" s="22"/>
      <c r="U29" s="22"/>
      <c r="V29" s="22"/>
      <c r="W29" s="22"/>
      <c r="X29" s="22"/>
      <c r="Y29" s="22"/>
      <c r="Z29" s="22"/>
    </row>
    <row r="30" ht="15.75" customHeight="1">
      <c r="A30" s="15">
        <v>44958.87610043981</v>
      </c>
      <c r="B30" s="16" t="s">
        <v>95</v>
      </c>
      <c r="C30" s="16" t="s">
        <v>37</v>
      </c>
      <c r="D30" s="16" t="s">
        <v>127</v>
      </c>
      <c r="E30" s="16" t="s">
        <v>128</v>
      </c>
      <c r="F30" s="16">
        <v>2.0</v>
      </c>
      <c r="G30" s="16">
        <v>32.0</v>
      </c>
      <c r="H30" s="16" t="s">
        <v>29</v>
      </c>
      <c r="I30" s="16" t="s">
        <v>40</v>
      </c>
      <c r="J30" s="19"/>
      <c r="K30" s="16" t="s">
        <v>129</v>
      </c>
      <c r="L30" s="16" t="s">
        <v>130</v>
      </c>
      <c r="M30" s="19" t="s">
        <v>131</v>
      </c>
      <c r="N30" s="17"/>
      <c r="O30" s="16" t="s">
        <v>29</v>
      </c>
      <c r="P30" s="16">
        <v>16.0</v>
      </c>
      <c r="Q30" s="26"/>
      <c r="R30" s="26"/>
      <c r="S30" s="26"/>
      <c r="T30" s="22"/>
      <c r="U30" s="22"/>
      <c r="V30" s="22"/>
      <c r="W30" s="22"/>
      <c r="X30" s="22"/>
      <c r="Y30" s="22"/>
      <c r="Z30" s="22"/>
    </row>
    <row r="31" ht="15.75" customHeight="1">
      <c r="A31" s="15">
        <v>44959.8573552662</v>
      </c>
      <c r="B31" s="16" t="s">
        <v>42</v>
      </c>
      <c r="C31" s="16" t="s">
        <v>46</v>
      </c>
      <c r="D31" s="16" t="s">
        <v>132</v>
      </c>
      <c r="E31" s="16" t="s">
        <v>133</v>
      </c>
      <c r="F31" s="16">
        <v>2.0</v>
      </c>
      <c r="G31" s="16">
        <v>32.0</v>
      </c>
      <c r="H31" s="16" t="s">
        <v>29</v>
      </c>
      <c r="I31" s="16" t="s">
        <v>40</v>
      </c>
      <c r="J31" s="17"/>
      <c r="K31" s="16"/>
      <c r="L31" s="31" t="s">
        <v>111</v>
      </c>
      <c r="M31" s="25" t="s">
        <v>50</v>
      </c>
      <c r="N31" s="17"/>
      <c r="O31" s="16" t="s">
        <v>29</v>
      </c>
      <c r="P31" s="16">
        <v>16.0</v>
      </c>
      <c r="Q31" s="26"/>
      <c r="R31" s="26"/>
      <c r="S31" s="26"/>
      <c r="T31" s="22"/>
      <c r="U31" s="22"/>
      <c r="V31" s="22"/>
      <c r="W31" s="22"/>
      <c r="X31" s="22"/>
      <c r="Y31" s="22"/>
      <c r="Z31" s="22"/>
    </row>
    <row r="32" ht="15.75" customHeight="1">
      <c r="A32" s="15">
        <v>44962.00108640046</v>
      </c>
      <c r="B32" s="16" t="s">
        <v>61</v>
      </c>
      <c r="C32" s="16" t="s">
        <v>51</v>
      </c>
      <c r="D32" s="16" t="s">
        <v>38</v>
      </c>
      <c r="E32" s="16" t="s">
        <v>134</v>
      </c>
      <c r="F32" s="16">
        <v>2.0</v>
      </c>
      <c r="G32" s="16">
        <v>16.0</v>
      </c>
      <c r="H32" s="16" t="s">
        <v>29</v>
      </c>
      <c r="I32" s="22"/>
      <c r="J32" s="17"/>
      <c r="K32" s="16" t="s">
        <v>135</v>
      </c>
      <c r="L32" s="16" t="s">
        <v>136</v>
      </c>
      <c r="M32" s="25" t="s">
        <v>137</v>
      </c>
      <c r="N32" s="17"/>
      <c r="O32" s="16" t="s">
        <v>40</v>
      </c>
      <c r="P32" s="16">
        <v>8.0</v>
      </c>
      <c r="Q32" s="26"/>
      <c r="R32" s="26"/>
      <c r="S32" s="26"/>
      <c r="T32" s="22"/>
      <c r="U32" s="22"/>
      <c r="V32" s="22"/>
      <c r="W32" s="22"/>
      <c r="X32" s="22"/>
      <c r="Y32" s="22"/>
      <c r="Z32" s="22"/>
    </row>
    <row r="33" ht="15.75" customHeight="1">
      <c r="A33" s="15">
        <v>44962.64395211806</v>
      </c>
      <c r="B33" s="16" t="s">
        <v>138</v>
      </c>
      <c r="C33" s="16" t="s">
        <v>37</v>
      </c>
      <c r="D33" s="16" t="s">
        <v>38</v>
      </c>
      <c r="E33" s="16" t="s">
        <v>59</v>
      </c>
      <c r="F33" s="16">
        <v>2.0</v>
      </c>
      <c r="G33" s="16">
        <v>32.0</v>
      </c>
      <c r="H33" s="16" t="s">
        <v>29</v>
      </c>
      <c r="I33" s="16" t="s">
        <v>40</v>
      </c>
      <c r="J33" s="17"/>
      <c r="K33" s="16" t="s">
        <v>139</v>
      </c>
      <c r="L33" s="16" t="s">
        <v>140</v>
      </c>
      <c r="M33" s="18" t="s">
        <v>141</v>
      </c>
      <c r="N33" s="17"/>
      <c r="O33" s="16" t="s">
        <v>126</v>
      </c>
      <c r="P33" s="16">
        <v>16.0</v>
      </c>
      <c r="Q33" s="26"/>
      <c r="R33" s="26"/>
      <c r="S33" s="26"/>
      <c r="T33" s="22"/>
      <c r="U33" s="22"/>
      <c r="V33" s="22"/>
      <c r="W33" s="22"/>
      <c r="X33" s="22"/>
      <c r="Y33" s="22"/>
      <c r="Z33" s="22"/>
    </row>
    <row r="34" ht="15.75" customHeight="1">
      <c r="A34" s="15">
        <v>44963.10306849537</v>
      </c>
      <c r="B34" s="16" t="s">
        <v>124</v>
      </c>
      <c r="C34" s="16" t="s">
        <v>46</v>
      </c>
      <c r="D34" s="16" t="s">
        <v>38</v>
      </c>
      <c r="E34" s="16" t="s">
        <v>68</v>
      </c>
      <c r="F34" s="16">
        <v>1.0</v>
      </c>
      <c r="G34" s="16">
        <v>10.0</v>
      </c>
      <c r="H34" s="16" t="s">
        <v>40</v>
      </c>
      <c r="I34" s="16" t="s">
        <v>40</v>
      </c>
      <c r="J34" s="19" t="s">
        <v>142</v>
      </c>
      <c r="K34" s="16" t="s">
        <v>143</v>
      </c>
      <c r="L34" s="16" t="s">
        <v>111</v>
      </c>
      <c r="M34" s="25" t="s">
        <v>50</v>
      </c>
      <c r="N34" s="17"/>
      <c r="O34" s="16" t="s">
        <v>40</v>
      </c>
      <c r="P34" s="16">
        <v>8.0</v>
      </c>
      <c r="Q34" s="26"/>
      <c r="R34" s="26"/>
      <c r="S34" s="26"/>
      <c r="T34" s="22"/>
      <c r="U34" s="22"/>
      <c r="V34" s="22"/>
      <c r="W34" s="22"/>
      <c r="X34" s="22"/>
      <c r="Y34" s="22"/>
      <c r="Z34" s="22"/>
    </row>
    <row r="35" ht="15.75" customHeight="1">
      <c r="A35" s="15">
        <v>44966.406914872685</v>
      </c>
      <c r="B35" s="16" t="s">
        <v>95</v>
      </c>
      <c r="C35" s="16" t="s">
        <v>37</v>
      </c>
      <c r="D35" s="16" t="s">
        <v>27</v>
      </c>
      <c r="E35" s="16" t="s">
        <v>144</v>
      </c>
      <c r="F35" s="16">
        <v>2.0</v>
      </c>
      <c r="G35" s="16">
        <v>16.0</v>
      </c>
      <c r="H35" s="16" t="s">
        <v>29</v>
      </c>
      <c r="I35" s="16" t="s">
        <v>40</v>
      </c>
      <c r="J35" s="19" t="s">
        <v>145</v>
      </c>
      <c r="K35" s="16" t="s">
        <v>146</v>
      </c>
      <c r="L35" s="16" t="s">
        <v>31</v>
      </c>
      <c r="M35" s="19" t="s">
        <v>147</v>
      </c>
      <c r="N35" s="19" t="s">
        <v>148</v>
      </c>
      <c r="O35" s="16" t="s">
        <v>29</v>
      </c>
      <c r="P35" s="16">
        <v>8.0</v>
      </c>
      <c r="Q35" s="26"/>
      <c r="R35" s="26"/>
      <c r="S35" s="26"/>
      <c r="T35" s="22"/>
      <c r="U35" s="22"/>
      <c r="V35" s="22"/>
      <c r="W35" s="22"/>
      <c r="X35" s="22"/>
      <c r="Y35" s="22"/>
      <c r="Z35" s="22"/>
    </row>
    <row r="36" ht="15.75" customHeight="1">
      <c r="A36" s="15">
        <v>44966.43472329861</v>
      </c>
      <c r="B36" s="16" t="s">
        <v>124</v>
      </c>
      <c r="C36" s="22"/>
      <c r="D36" s="16" t="s">
        <v>38</v>
      </c>
      <c r="E36" s="16" t="s">
        <v>68</v>
      </c>
      <c r="F36" s="16">
        <v>1.0</v>
      </c>
      <c r="G36" s="16">
        <v>10.0</v>
      </c>
      <c r="H36" s="16" t="s">
        <v>40</v>
      </c>
      <c r="I36" s="22"/>
      <c r="J36" s="17"/>
      <c r="K36" s="22"/>
      <c r="L36" s="22"/>
      <c r="M36" s="17"/>
      <c r="N36" s="17"/>
      <c r="O36" s="16" t="s">
        <v>126</v>
      </c>
      <c r="P36" s="16">
        <v>8.0</v>
      </c>
      <c r="Q36" s="26"/>
      <c r="R36" s="26"/>
      <c r="S36" s="26"/>
      <c r="T36" s="22"/>
      <c r="U36" s="22"/>
      <c r="V36" s="22"/>
      <c r="W36" s="22"/>
      <c r="X36" s="22"/>
      <c r="Y36" s="22"/>
      <c r="Z36" s="22"/>
    </row>
    <row r="37" ht="15.75" customHeight="1">
      <c r="A37" s="15">
        <v>44967.31873383102</v>
      </c>
      <c r="B37" s="16" t="s">
        <v>36</v>
      </c>
      <c r="C37" s="16" t="s">
        <v>46</v>
      </c>
      <c r="D37" s="16" t="s">
        <v>86</v>
      </c>
      <c r="E37" s="16" t="s">
        <v>149</v>
      </c>
      <c r="F37" s="16">
        <v>1.0</v>
      </c>
      <c r="G37" s="16">
        <v>20.0</v>
      </c>
      <c r="H37" s="16" t="s">
        <v>29</v>
      </c>
      <c r="I37" s="16" t="s">
        <v>40</v>
      </c>
      <c r="J37" s="17"/>
      <c r="K37" s="16" t="s">
        <v>150</v>
      </c>
      <c r="L37" s="16" t="s">
        <v>151</v>
      </c>
      <c r="M37" s="18" t="s">
        <v>152</v>
      </c>
      <c r="N37" s="17"/>
      <c r="O37" s="16" t="s">
        <v>40</v>
      </c>
      <c r="P37" s="16">
        <v>16.0</v>
      </c>
      <c r="Q37" s="26"/>
      <c r="R37" s="26"/>
      <c r="S37" s="26"/>
      <c r="T37" s="22"/>
      <c r="U37" s="22"/>
      <c r="V37" s="22"/>
      <c r="W37" s="22"/>
      <c r="X37" s="22"/>
      <c r="Y37" s="22"/>
      <c r="Z37" s="22"/>
    </row>
    <row r="38" ht="15.75" customHeight="1">
      <c r="A38" s="15">
        <v>44967.32035144676</v>
      </c>
      <c r="B38" s="16" t="s">
        <v>36</v>
      </c>
      <c r="C38" s="16" t="s">
        <v>46</v>
      </c>
      <c r="D38" s="16" t="s">
        <v>38</v>
      </c>
      <c r="E38" s="16" t="s">
        <v>153</v>
      </c>
      <c r="F38" s="16">
        <v>1.0</v>
      </c>
      <c r="G38" s="16">
        <v>12.0</v>
      </c>
      <c r="H38" s="16" t="s">
        <v>40</v>
      </c>
      <c r="I38" s="16" t="s">
        <v>40</v>
      </c>
      <c r="J38" s="17"/>
      <c r="K38" s="16" t="s">
        <v>150</v>
      </c>
      <c r="L38" s="16" t="s">
        <v>151</v>
      </c>
      <c r="M38" s="25" t="s">
        <v>50</v>
      </c>
      <c r="N38" s="17"/>
      <c r="O38" s="16" t="s">
        <v>40</v>
      </c>
      <c r="P38" s="16">
        <v>8.0</v>
      </c>
      <c r="Q38" s="26"/>
      <c r="R38" s="26"/>
      <c r="S38" s="26"/>
      <c r="T38" s="22"/>
      <c r="U38" s="22"/>
      <c r="V38" s="22"/>
      <c r="W38" s="22"/>
      <c r="X38" s="22"/>
      <c r="Y38" s="22"/>
      <c r="Z38" s="22"/>
    </row>
    <row r="39" ht="15.75" customHeight="1">
      <c r="A39" s="15">
        <v>44967.414061435185</v>
      </c>
      <c r="B39" s="16" t="s">
        <v>154</v>
      </c>
      <c r="C39" s="16" t="s">
        <v>46</v>
      </c>
      <c r="D39" s="16" t="s">
        <v>119</v>
      </c>
      <c r="E39" s="16" t="s">
        <v>155</v>
      </c>
      <c r="F39" s="16">
        <v>1.0</v>
      </c>
      <c r="G39" s="16">
        <v>4.0</v>
      </c>
      <c r="H39" s="16" t="s">
        <v>29</v>
      </c>
      <c r="I39" s="16" t="s">
        <v>40</v>
      </c>
      <c r="J39" s="17"/>
      <c r="K39" s="22"/>
      <c r="L39" s="16" t="s">
        <v>156</v>
      </c>
      <c r="M39" s="17"/>
      <c r="N39" s="17"/>
      <c r="O39" s="16" t="s">
        <v>40</v>
      </c>
      <c r="P39" s="16">
        <v>4.0</v>
      </c>
      <c r="Q39" s="26"/>
      <c r="R39" s="26"/>
      <c r="S39" s="26"/>
      <c r="T39" s="22"/>
      <c r="U39" s="22"/>
      <c r="V39" s="22"/>
      <c r="W39" s="22"/>
      <c r="X39" s="22"/>
      <c r="Y39" s="22"/>
      <c r="Z39" s="22"/>
    </row>
    <row r="40" ht="15.75" customHeight="1">
      <c r="A40" s="15">
        <v>44967.72333304398</v>
      </c>
      <c r="B40" s="16" t="s">
        <v>124</v>
      </c>
      <c r="C40" s="16" t="s">
        <v>37</v>
      </c>
      <c r="D40" s="16" t="s">
        <v>27</v>
      </c>
      <c r="E40" s="16" t="s">
        <v>157</v>
      </c>
      <c r="F40" s="16">
        <v>1.0</v>
      </c>
      <c r="G40" s="16">
        <v>18.0</v>
      </c>
      <c r="H40" s="16" t="s">
        <v>29</v>
      </c>
      <c r="I40" s="16" t="s">
        <v>29</v>
      </c>
      <c r="J40" s="17"/>
      <c r="K40" s="16" t="s">
        <v>158</v>
      </c>
      <c r="L40" s="16" t="s">
        <v>103</v>
      </c>
      <c r="M40" s="25" t="s">
        <v>159</v>
      </c>
      <c r="N40" s="19" t="s">
        <v>160</v>
      </c>
      <c r="O40" s="16" t="s">
        <v>40</v>
      </c>
      <c r="P40" s="16">
        <v>16.0</v>
      </c>
      <c r="Q40" s="26"/>
      <c r="R40" s="26"/>
      <c r="S40" s="26"/>
      <c r="T40" s="22"/>
      <c r="U40" s="22"/>
      <c r="V40" s="22"/>
      <c r="W40" s="22"/>
      <c r="X40" s="22"/>
      <c r="Y40" s="22"/>
      <c r="Z40" s="22"/>
    </row>
    <row r="41" ht="15.75" customHeight="1">
      <c r="A41" s="15">
        <v>44968.35692208333</v>
      </c>
      <c r="B41" s="16" t="s">
        <v>124</v>
      </c>
      <c r="C41" s="16" t="s">
        <v>37</v>
      </c>
      <c r="D41" s="16" t="s">
        <v>71</v>
      </c>
      <c r="E41" s="16" t="s">
        <v>161</v>
      </c>
      <c r="F41" s="16">
        <v>1.0</v>
      </c>
      <c r="G41" s="16">
        <v>18.0</v>
      </c>
      <c r="H41" s="16" t="s">
        <v>29</v>
      </c>
      <c r="I41" s="16" t="s">
        <v>40</v>
      </c>
      <c r="J41" s="19" t="s">
        <v>162</v>
      </c>
      <c r="K41" s="16" t="s">
        <v>163</v>
      </c>
      <c r="L41" s="16" t="s">
        <v>111</v>
      </c>
      <c r="M41" s="25" t="s">
        <v>50</v>
      </c>
      <c r="N41" s="19" t="s">
        <v>164</v>
      </c>
      <c r="O41" s="16" t="s">
        <v>126</v>
      </c>
      <c r="P41" s="16">
        <v>16.0</v>
      </c>
      <c r="Q41" s="26"/>
      <c r="R41" s="26"/>
      <c r="S41" s="26"/>
      <c r="T41" s="22"/>
      <c r="U41" s="22"/>
      <c r="V41" s="22"/>
      <c r="W41" s="22"/>
      <c r="X41" s="22"/>
      <c r="Y41" s="22"/>
      <c r="Z41" s="22"/>
    </row>
    <row r="42" ht="15.75" customHeight="1">
      <c r="A42" s="15">
        <v>44968.96760986111</v>
      </c>
      <c r="B42" s="16" t="s">
        <v>2</v>
      </c>
      <c r="C42" s="16" t="s">
        <v>37</v>
      </c>
      <c r="D42" s="16" t="s">
        <v>47</v>
      </c>
      <c r="E42" s="16" t="s">
        <v>165</v>
      </c>
      <c r="F42" s="16">
        <v>2.0</v>
      </c>
      <c r="G42" s="16">
        <v>32.0</v>
      </c>
      <c r="H42" s="16" t="s">
        <v>29</v>
      </c>
      <c r="I42" s="16" t="s">
        <v>40</v>
      </c>
      <c r="J42" s="17"/>
      <c r="K42" s="16" t="s">
        <v>166</v>
      </c>
      <c r="L42" s="16" t="s">
        <v>111</v>
      </c>
      <c r="M42" s="25" t="s">
        <v>50</v>
      </c>
      <c r="N42" s="19" t="s">
        <v>167</v>
      </c>
      <c r="O42" s="16" t="s">
        <v>29</v>
      </c>
      <c r="P42" s="16">
        <v>16.0</v>
      </c>
      <c r="Q42" s="26"/>
      <c r="R42" s="26"/>
      <c r="S42" s="26"/>
      <c r="T42" s="22"/>
      <c r="U42" s="22"/>
      <c r="V42" s="22"/>
      <c r="W42" s="22"/>
      <c r="X42" s="22"/>
      <c r="Y42" s="22"/>
      <c r="Z42" s="22"/>
    </row>
    <row r="43" ht="15.75" customHeight="1">
      <c r="A43" s="15">
        <v>44970.554361620365</v>
      </c>
      <c r="B43" s="16" t="s">
        <v>124</v>
      </c>
      <c r="C43" s="16" t="s">
        <v>37</v>
      </c>
      <c r="D43" s="16" t="s">
        <v>38</v>
      </c>
      <c r="E43" s="16" t="s">
        <v>153</v>
      </c>
      <c r="F43" s="16">
        <v>1.0</v>
      </c>
      <c r="G43" s="16">
        <v>10.0</v>
      </c>
      <c r="H43" s="16" t="s">
        <v>40</v>
      </c>
      <c r="I43" s="16" t="s">
        <v>40</v>
      </c>
      <c r="J43" s="17"/>
      <c r="K43" s="22"/>
      <c r="L43" s="16" t="s">
        <v>93</v>
      </c>
      <c r="M43" s="25" t="s">
        <v>168</v>
      </c>
      <c r="N43" s="17"/>
      <c r="O43" s="16" t="s">
        <v>40</v>
      </c>
      <c r="P43" s="16">
        <v>8.0</v>
      </c>
      <c r="Q43" s="26"/>
      <c r="R43" s="26"/>
      <c r="S43" s="26"/>
      <c r="T43" s="22"/>
      <c r="U43" s="22"/>
      <c r="V43" s="22"/>
      <c r="W43" s="22"/>
      <c r="X43" s="22"/>
      <c r="Y43" s="22"/>
      <c r="Z43" s="22"/>
    </row>
    <row r="44" ht="15.75" customHeight="1">
      <c r="A44" s="15">
        <v>44972.910239571764</v>
      </c>
      <c r="B44" s="16" t="s">
        <v>169</v>
      </c>
      <c r="C44" s="16" t="s">
        <v>51</v>
      </c>
      <c r="D44" s="16" t="s">
        <v>132</v>
      </c>
      <c r="E44" s="16" t="s">
        <v>133</v>
      </c>
      <c r="F44" s="16">
        <v>2.0</v>
      </c>
      <c r="G44" s="16">
        <v>32.0</v>
      </c>
      <c r="H44" s="16" t="s">
        <v>29</v>
      </c>
      <c r="I44" s="16" t="s">
        <v>40</v>
      </c>
      <c r="J44" s="19" t="s">
        <v>170</v>
      </c>
      <c r="K44" s="16" t="s">
        <v>171</v>
      </c>
      <c r="L44" s="31" t="s">
        <v>111</v>
      </c>
      <c r="M44" s="25" t="s">
        <v>50</v>
      </c>
      <c r="N44" s="19" t="s">
        <v>172</v>
      </c>
      <c r="O44" s="16" t="s">
        <v>29</v>
      </c>
      <c r="P44" s="16">
        <v>16.0</v>
      </c>
      <c r="Q44" s="26"/>
      <c r="R44" s="26"/>
      <c r="S44" s="26"/>
      <c r="T44" s="22"/>
      <c r="U44" s="22"/>
      <c r="V44" s="22"/>
      <c r="W44" s="22"/>
      <c r="X44" s="22"/>
      <c r="Y44" s="22"/>
      <c r="Z44" s="22"/>
    </row>
    <row r="45" ht="15.75" customHeight="1">
      <c r="A45" s="15">
        <v>44972.93214060186</v>
      </c>
      <c r="B45" s="16" t="s">
        <v>169</v>
      </c>
      <c r="C45" s="16" t="s">
        <v>37</v>
      </c>
      <c r="D45" s="16" t="s">
        <v>47</v>
      </c>
      <c r="E45" s="16" t="s">
        <v>173</v>
      </c>
      <c r="F45" s="16">
        <v>2.0</v>
      </c>
      <c r="G45" s="16">
        <v>32.0</v>
      </c>
      <c r="H45" s="16" t="s">
        <v>29</v>
      </c>
      <c r="I45" s="16" t="s">
        <v>40</v>
      </c>
      <c r="J45" s="19" t="s">
        <v>174</v>
      </c>
      <c r="K45" s="16" t="s">
        <v>171</v>
      </c>
      <c r="L45" s="31" t="s">
        <v>111</v>
      </c>
      <c r="M45" s="25" t="s">
        <v>50</v>
      </c>
      <c r="N45" s="19" t="s">
        <v>175</v>
      </c>
      <c r="O45" s="16" t="s">
        <v>29</v>
      </c>
      <c r="P45" s="16">
        <v>16.0</v>
      </c>
      <c r="Q45" s="26"/>
      <c r="R45" s="26"/>
      <c r="S45" s="26"/>
      <c r="T45" s="22"/>
      <c r="U45" s="22"/>
      <c r="V45" s="22"/>
      <c r="W45" s="22"/>
      <c r="X45" s="22"/>
      <c r="Y45" s="22"/>
      <c r="Z45" s="22"/>
    </row>
    <row r="46" ht="15.75" customHeight="1">
      <c r="A46" s="15">
        <v>44974.638218946755</v>
      </c>
      <c r="B46" s="16" t="s">
        <v>124</v>
      </c>
      <c r="C46" s="16" t="s">
        <v>176</v>
      </c>
      <c r="D46" s="16" t="s">
        <v>38</v>
      </c>
      <c r="E46" s="16" t="s">
        <v>177</v>
      </c>
      <c r="F46" s="16">
        <v>1.0</v>
      </c>
      <c r="G46" s="16">
        <v>10.0</v>
      </c>
      <c r="H46" s="16" t="s">
        <v>29</v>
      </c>
      <c r="I46" s="16" t="s">
        <v>40</v>
      </c>
      <c r="J46" s="17"/>
      <c r="K46" s="16" t="s">
        <v>178</v>
      </c>
      <c r="L46" s="16" t="s">
        <v>93</v>
      </c>
      <c r="M46" s="25" t="s">
        <v>168</v>
      </c>
      <c r="N46" s="19" t="s">
        <v>179</v>
      </c>
      <c r="O46" s="16" t="s">
        <v>40</v>
      </c>
      <c r="P46" s="16">
        <v>8.0</v>
      </c>
      <c r="Q46" s="26"/>
      <c r="R46" s="26"/>
      <c r="S46" s="26"/>
      <c r="T46" s="22"/>
      <c r="U46" s="22"/>
      <c r="V46" s="22"/>
      <c r="W46" s="22"/>
      <c r="X46" s="22"/>
      <c r="Y46" s="22"/>
      <c r="Z46" s="22"/>
    </row>
    <row r="47" ht="15.75" customHeight="1">
      <c r="A47" s="15">
        <v>44974.948375821754</v>
      </c>
      <c r="B47" s="16" t="s">
        <v>66</v>
      </c>
      <c r="C47" s="16" t="s">
        <v>46</v>
      </c>
      <c r="D47" s="16" t="s">
        <v>180</v>
      </c>
      <c r="E47" s="16" t="s">
        <v>181</v>
      </c>
      <c r="F47" s="16">
        <v>1.0</v>
      </c>
      <c r="G47" s="16">
        <v>10.0</v>
      </c>
      <c r="H47" s="16" t="s">
        <v>29</v>
      </c>
      <c r="I47" s="22"/>
      <c r="J47" s="19"/>
      <c r="K47" s="16" t="s">
        <v>182</v>
      </c>
      <c r="L47" s="16" t="s">
        <v>111</v>
      </c>
      <c r="M47" s="32" t="s">
        <v>50</v>
      </c>
      <c r="N47" s="19" t="s">
        <v>183</v>
      </c>
      <c r="O47" s="16" t="s">
        <v>40</v>
      </c>
      <c r="P47" s="16">
        <v>8.0</v>
      </c>
      <c r="Q47" s="26"/>
      <c r="R47" s="26"/>
      <c r="S47" s="26"/>
      <c r="T47" s="22"/>
      <c r="U47" s="22"/>
      <c r="V47" s="22"/>
      <c r="W47" s="22"/>
      <c r="X47" s="22"/>
      <c r="Y47" s="22"/>
      <c r="Z47" s="22"/>
    </row>
    <row r="48" ht="15.75" customHeight="1">
      <c r="A48" s="15">
        <v>44978.29224096065</v>
      </c>
      <c r="B48" s="16" t="s">
        <v>45</v>
      </c>
      <c r="C48" s="16" t="s">
        <v>46</v>
      </c>
      <c r="D48" s="16" t="s">
        <v>119</v>
      </c>
      <c r="E48" s="16" t="s">
        <v>184</v>
      </c>
      <c r="F48" s="16">
        <v>2.0</v>
      </c>
      <c r="G48" s="16">
        <v>32.0</v>
      </c>
      <c r="H48" s="16" t="s">
        <v>29</v>
      </c>
      <c r="I48" s="16" t="s">
        <v>40</v>
      </c>
      <c r="J48" s="17"/>
      <c r="K48" s="16" t="s">
        <v>185</v>
      </c>
      <c r="L48" s="16" t="s">
        <v>186</v>
      </c>
      <c r="M48" s="25" t="s">
        <v>187</v>
      </c>
      <c r="N48" s="17"/>
      <c r="O48" s="16" t="s">
        <v>29</v>
      </c>
      <c r="P48" s="16">
        <v>16.0</v>
      </c>
      <c r="Q48" s="26"/>
      <c r="R48" s="26"/>
      <c r="S48" s="26"/>
      <c r="T48" s="22"/>
      <c r="U48" s="22"/>
      <c r="V48" s="22"/>
      <c r="W48" s="22"/>
      <c r="X48" s="22"/>
      <c r="Y48" s="22"/>
      <c r="Z48" s="22"/>
    </row>
    <row r="49" ht="15.75" customHeight="1">
      <c r="A49" s="15">
        <v>44980.57249716435</v>
      </c>
      <c r="B49" s="16" t="s">
        <v>124</v>
      </c>
      <c r="C49" s="16" t="s">
        <v>176</v>
      </c>
      <c r="D49" s="16" t="s">
        <v>38</v>
      </c>
      <c r="E49" s="16" t="s">
        <v>57</v>
      </c>
      <c r="F49" s="16">
        <v>1.0</v>
      </c>
      <c r="G49" s="16">
        <v>6.0</v>
      </c>
      <c r="H49" s="16" t="s">
        <v>29</v>
      </c>
      <c r="I49" s="16" t="s">
        <v>40</v>
      </c>
      <c r="J49" s="17"/>
      <c r="K49" s="22"/>
      <c r="L49" s="16" t="s">
        <v>103</v>
      </c>
      <c r="M49" s="19" t="s">
        <v>188</v>
      </c>
      <c r="N49" s="17"/>
      <c r="O49" s="16" t="s">
        <v>40</v>
      </c>
      <c r="P49" s="16">
        <v>4.0</v>
      </c>
      <c r="Q49" s="26"/>
      <c r="R49" s="26"/>
      <c r="S49" s="26"/>
      <c r="T49" s="22"/>
      <c r="U49" s="22"/>
      <c r="V49" s="22"/>
      <c r="W49" s="22"/>
      <c r="X49" s="22"/>
      <c r="Y49" s="22"/>
      <c r="Z49" s="22"/>
    </row>
    <row r="50" ht="15.75" customHeight="1">
      <c r="A50" s="15">
        <v>44982.51488724537</v>
      </c>
      <c r="B50" s="16" t="s">
        <v>169</v>
      </c>
      <c r="C50" s="16" t="s">
        <v>176</v>
      </c>
      <c r="D50" s="16" t="s">
        <v>27</v>
      </c>
      <c r="E50" s="16" t="s">
        <v>189</v>
      </c>
      <c r="F50" s="16">
        <v>2.0</v>
      </c>
      <c r="G50" s="16">
        <v>32.0</v>
      </c>
      <c r="H50" s="16" t="s">
        <v>29</v>
      </c>
      <c r="I50" s="16" t="s">
        <v>40</v>
      </c>
      <c r="J50" s="19" t="s">
        <v>190</v>
      </c>
      <c r="K50" s="16" t="s">
        <v>191</v>
      </c>
      <c r="L50" s="16" t="s">
        <v>111</v>
      </c>
      <c r="M50" s="19" t="s">
        <v>192</v>
      </c>
      <c r="N50" s="19" t="s">
        <v>193</v>
      </c>
      <c r="O50" s="16" t="s">
        <v>29</v>
      </c>
      <c r="P50" s="16">
        <v>16.0</v>
      </c>
      <c r="Q50" s="26"/>
      <c r="R50" s="26"/>
      <c r="S50" s="26"/>
      <c r="T50" s="22"/>
      <c r="U50" s="22"/>
      <c r="V50" s="22"/>
      <c r="W50" s="22"/>
      <c r="X50" s="22"/>
      <c r="Y50" s="22"/>
      <c r="Z50" s="22"/>
    </row>
    <row r="51" ht="15.75" customHeight="1">
      <c r="A51" s="15">
        <v>44984.59237596065</v>
      </c>
      <c r="B51" s="16" t="s">
        <v>99</v>
      </c>
      <c r="C51" s="16" t="s">
        <v>176</v>
      </c>
      <c r="D51" s="16" t="s">
        <v>38</v>
      </c>
      <c r="E51" s="16" t="s">
        <v>194</v>
      </c>
      <c r="F51" s="16">
        <v>2.0</v>
      </c>
      <c r="G51" s="16">
        <v>32.0</v>
      </c>
      <c r="H51" s="16" t="s">
        <v>29</v>
      </c>
      <c r="I51" s="16" t="s">
        <v>29</v>
      </c>
      <c r="J51" s="17"/>
      <c r="K51" s="16" t="s">
        <v>195</v>
      </c>
      <c r="L51" s="16" t="s">
        <v>196</v>
      </c>
      <c r="M51" s="25" t="s">
        <v>197</v>
      </c>
      <c r="N51" s="19" t="s">
        <v>198</v>
      </c>
      <c r="O51" s="16" t="s">
        <v>40</v>
      </c>
      <c r="P51" s="16">
        <v>16.0</v>
      </c>
      <c r="Q51" s="26"/>
      <c r="R51" s="26"/>
      <c r="S51" s="26"/>
      <c r="T51" s="22"/>
      <c r="U51" s="22"/>
      <c r="V51" s="22"/>
      <c r="W51" s="22"/>
      <c r="X51" s="22"/>
      <c r="Y51" s="22"/>
      <c r="Z51" s="22"/>
    </row>
    <row r="52" ht="15.75" customHeight="1">
      <c r="A52" s="15">
        <v>44986.5950471875</v>
      </c>
      <c r="B52" s="16" t="s">
        <v>2</v>
      </c>
      <c r="C52" s="16" t="s">
        <v>176</v>
      </c>
      <c r="D52" s="16" t="s">
        <v>27</v>
      </c>
      <c r="E52" s="16" t="s">
        <v>199</v>
      </c>
      <c r="F52" s="16">
        <v>1.0</v>
      </c>
      <c r="G52" s="16">
        <v>36.0</v>
      </c>
      <c r="H52" s="16" t="s">
        <v>29</v>
      </c>
      <c r="I52" s="16" t="s">
        <v>40</v>
      </c>
      <c r="J52" s="17"/>
      <c r="K52" s="16" t="s">
        <v>200</v>
      </c>
      <c r="L52" s="16" t="s">
        <v>103</v>
      </c>
      <c r="M52" s="25" t="s">
        <v>122</v>
      </c>
      <c r="N52" s="19" t="s">
        <v>201</v>
      </c>
      <c r="O52" s="16" t="s">
        <v>29</v>
      </c>
      <c r="P52" s="16">
        <v>32.0</v>
      </c>
      <c r="Q52" s="26"/>
      <c r="R52" s="26"/>
      <c r="S52" s="26"/>
      <c r="T52" s="22"/>
      <c r="U52" s="22"/>
      <c r="V52" s="22"/>
      <c r="W52" s="22"/>
      <c r="X52" s="22"/>
      <c r="Y52" s="22"/>
      <c r="Z52" s="22"/>
    </row>
    <row r="53" ht="15.75" customHeight="1">
      <c r="A53" s="15">
        <v>44990.03630658565</v>
      </c>
      <c r="B53" s="16" t="s">
        <v>202</v>
      </c>
      <c r="C53" s="16" t="s">
        <v>62</v>
      </c>
      <c r="D53" s="16" t="s">
        <v>119</v>
      </c>
      <c r="E53" s="16" t="s">
        <v>203</v>
      </c>
      <c r="F53" s="16">
        <v>4.0</v>
      </c>
      <c r="G53" s="16">
        <v>32.0</v>
      </c>
      <c r="H53" s="16" t="s">
        <v>29</v>
      </c>
      <c r="I53" s="16" t="s">
        <v>40</v>
      </c>
      <c r="J53" s="17"/>
      <c r="K53" s="16" t="s">
        <v>204</v>
      </c>
      <c r="L53" s="22"/>
      <c r="M53" s="17"/>
      <c r="N53" s="19" t="s">
        <v>205</v>
      </c>
      <c r="O53" s="16" t="s">
        <v>29</v>
      </c>
      <c r="P53" s="16">
        <v>8.0</v>
      </c>
      <c r="Q53" s="26"/>
      <c r="R53" s="26"/>
      <c r="S53" s="26"/>
      <c r="T53" s="22"/>
      <c r="U53" s="22"/>
      <c r="V53" s="22"/>
      <c r="W53" s="22"/>
      <c r="X53" s="22"/>
      <c r="Y53" s="22"/>
      <c r="Z53" s="22"/>
    </row>
    <row r="54" ht="15.75" customHeight="1">
      <c r="A54" s="15">
        <v>44992.23662347222</v>
      </c>
      <c r="B54" s="16" t="s">
        <v>2</v>
      </c>
      <c r="C54" s="16" t="s">
        <v>176</v>
      </c>
      <c r="D54" s="16" t="s">
        <v>101</v>
      </c>
      <c r="E54" s="16" t="s">
        <v>206</v>
      </c>
      <c r="F54" s="16">
        <v>1.0</v>
      </c>
      <c r="G54" s="16">
        <v>20.0</v>
      </c>
      <c r="H54" s="16" t="s">
        <v>29</v>
      </c>
      <c r="I54" s="16" t="s">
        <v>40</v>
      </c>
      <c r="J54" s="17"/>
      <c r="K54" s="16" t="s">
        <v>207</v>
      </c>
      <c r="L54" s="16" t="s">
        <v>186</v>
      </c>
      <c r="M54" s="19" t="s">
        <v>208</v>
      </c>
      <c r="N54" s="17"/>
      <c r="O54" s="16" t="s">
        <v>29</v>
      </c>
      <c r="P54" s="16">
        <v>16.0</v>
      </c>
      <c r="Q54" s="26"/>
      <c r="R54" s="26"/>
      <c r="S54" s="26"/>
      <c r="T54" s="22"/>
      <c r="U54" s="22"/>
      <c r="V54" s="22"/>
      <c r="W54" s="22"/>
      <c r="X54" s="22"/>
      <c r="Y54" s="22"/>
      <c r="Z54" s="22"/>
    </row>
    <row r="55" ht="15.75" customHeight="1">
      <c r="A55" s="15">
        <v>44992.56160523148</v>
      </c>
      <c r="B55" s="16" t="s">
        <v>138</v>
      </c>
      <c r="C55" s="16" t="s">
        <v>176</v>
      </c>
      <c r="D55" s="16" t="s">
        <v>27</v>
      </c>
      <c r="E55" s="16" t="s">
        <v>28</v>
      </c>
      <c r="F55" s="16">
        <v>1.0</v>
      </c>
      <c r="G55" s="16">
        <v>16.0</v>
      </c>
      <c r="H55" s="16" t="s">
        <v>29</v>
      </c>
      <c r="I55" s="16" t="s">
        <v>29</v>
      </c>
      <c r="J55" s="17"/>
      <c r="K55" s="16" t="s">
        <v>209</v>
      </c>
      <c r="L55" s="16" t="s">
        <v>31</v>
      </c>
      <c r="M55" s="19" t="s">
        <v>210</v>
      </c>
      <c r="N55" s="19" t="s">
        <v>211</v>
      </c>
      <c r="O55" s="16" t="s">
        <v>29</v>
      </c>
      <c r="P55" s="16">
        <v>16.0</v>
      </c>
      <c r="Q55" s="26"/>
      <c r="R55" s="26"/>
      <c r="S55" s="26"/>
      <c r="T55" s="22"/>
      <c r="U55" s="22"/>
      <c r="V55" s="22"/>
      <c r="W55" s="22"/>
      <c r="X55" s="22"/>
      <c r="Y55" s="22"/>
      <c r="Z55" s="22"/>
    </row>
    <row r="56" ht="15.75" customHeight="1">
      <c r="A56" s="15">
        <v>44992.77321854167</v>
      </c>
      <c r="B56" s="16" t="s">
        <v>36</v>
      </c>
      <c r="C56" s="16" t="s">
        <v>176</v>
      </c>
      <c r="D56" s="16" t="s">
        <v>27</v>
      </c>
      <c r="E56" s="16" t="s">
        <v>212</v>
      </c>
      <c r="F56" s="16">
        <v>1.0</v>
      </c>
      <c r="G56" s="16">
        <v>20.0</v>
      </c>
      <c r="H56" s="16" t="s">
        <v>29</v>
      </c>
      <c r="I56" s="16" t="s">
        <v>29</v>
      </c>
      <c r="J56" s="17"/>
      <c r="K56" s="22"/>
      <c r="L56" s="22"/>
      <c r="M56" s="19" t="s">
        <v>210</v>
      </c>
      <c r="N56" s="19" t="s">
        <v>213</v>
      </c>
      <c r="O56" s="16" t="s">
        <v>126</v>
      </c>
      <c r="P56" s="16">
        <v>16.0</v>
      </c>
      <c r="Q56" s="26"/>
      <c r="R56" s="26"/>
      <c r="S56" s="26"/>
      <c r="T56" s="22"/>
      <c r="U56" s="22"/>
      <c r="V56" s="22"/>
      <c r="W56" s="22"/>
      <c r="X56" s="22"/>
      <c r="Y56" s="22"/>
      <c r="Z56" s="22"/>
    </row>
    <row r="57" ht="15.75" customHeight="1">
      <c r="A57" s="15">
        <v>44997.552913113424</v>
      </c>
      <c r="B57" s="16" t="s">
        <v>45</v>
      </c>
      <c r="C57" s="16" t="s">
        <v>176</v>
      </c>
      <c r="D57" s="16" t="s">
        <v>38</v>
      </c>
      <c r="E57" s="16" t="s">
        <v>59</v>
      </c>
      <c r="F57" s="16">
        <v>1.0</v>
      </c>
      <c r="G57" s="16">
        <v>16.0</v>
      </c>
      <c r="H57" s="16" t="s">
        <v>29</v>
      </c>
      <c r="I57" s="16" t="s">
        <v>40</v>
      </c>
      <c r="J57" s="17"/>
      <c r="K57" s="16" t="s">
        <v>214</v>
      </c>
      <c r="L57" s="16" t="s">
        <v>111</v>
      </c>
      <c r="M57" s="19" t="s">
        <v>215</v>
      </c>
      <c r="N57" s="19" t="s">
        <v>216</v>
      </c>
      <c r="O57" s="16" t="s">
        <v>40</v>
      </c>
      <c r="P57" s="16">
        <v>16.0</v>
      </c>
      <c r="Q57" s="26"/>
      <c r="R57" s="26"/>
      <c r="S57" s="26"/>
      <c r="T57" s="22"/>
      <c r="U57" s="22"/>
      <c r="V57" s="22"/>
      <c r="W57" s="22"/>
      <c r="X57" s="22"/>
      <c r="Y57" s="22"/>
      <c r="Z57" s="22"/>
    </row>
    <row r="58" ht="15.75" customHeight="1">
      <c r="A58" s="15">
        <v>44997.822100324076</v>
      </c>
      <c r="B58" s="16" t="s">
        <v>36</v>
      </c>
      <c r="C58" s="16" t="s">
        <v>176</v>
      </c>
      <c r="D58" s="16" t="s">
        <v>38</v>
      </c>
      <c r="E58" s="16" t="s">
        <v>57</v>
      </c>
      <c r="F58" s="16">
        <v>1.0</v>
      </c>
      <c r="G58" s="16">
        <v>8.0</v>
      </c>
      <c r="H58" s="16" t="s">
        <v>29</v>
      </c>
      <c r="I58" s="16" t="s">
        <v>40</v>
      </c>
      <c r="J58" s="17"/>
      <c r="K58" s="22"/>
      <c r="L58" s="16" t="s">
        <v>136</v>
      </c>
      <c r="M58" s="25" t="s">
        <v>217</v>
      </c>
      <c r="N58" s="17"/>
      <c r="O58" s="16" t="s">
        <v>40</v>
      </c>
      <c r="P58" s="16">
        <v>4.0</v>
      </c>
      <c r="Q58" s="26"/>
      <c r="R58" s="26"/>
      <c r="S58" s="26"/>
      <c r="T58" s="22"/>
      <c r="U58" s="22"/>
      <c r="V58" s="22"/>
      <c r="W58" s="22"/>
      <c r="X58" s="22"/>
      <c r="Y58" s="22"/>
      <c r="Z58" s="22"/>
    </row>
    <row r="59" ht="15.75" customHeight="1">
      <c r="A59" s="15">
        <v>44997.86245458333</v>
      </c>
      <c r="B59" s="16" t="s">
        <v>2</v>
      </c>
      <c r="C59" s="16" t="s">
        <v>176</v>
      </c>
      <c r="D59" s="16" t="s">
        <v>27</v>
      </c>
      <c r="E59" s="16" t="s">
        <v>144</v>
      </c>
      <c r="F59" s="16">
        <v>2.0</v>
      </c>
      <c r="G59" s="16">
        <v>16.0</v>
      </c>
      <c r="H59" s="16" t="s">
        <v>29</v>
      </c>
      <c r="I59" s="16" t="s">
        <v>29</v>
      </c>
      <c r="J59" s="17"/>
      <c r="K59" s="16" t="s">
        <v>218</v>
      </c>
      <c r="L59" s="16" t="s">
        <v>219</v>
      </c>
      <c r="M59" s="25" t="s">
        <v>220</v>
      </c>
      <c r="N59" s="17"/>
      <c r="O59" s="16" t="s">
        <v>29</v>
      </c>
      <c r="P59" s="16">
        <v>8.0</v>
      </c>
      <c r="Q59" s="26"/>
      <c r="R59" s="26"/>
      <c r="S59" s="26"/>
      <c r="T59" s="22"/>
      <c r="U59" s="22"/>
      <c r="V59" s="22"/>
      <c r="W59" s="22"/>
      <c r="X59" s="22"/>
      <c r="Y59" s="22"/>
      <c r="Z59" s="22"/>
    </row>
    <row r="60" ht="15.75" customHeight="1">
      <c r="A60" s="15">
        <v>44998.95362054398</v>
      </c>
      <c r="B60" s="16" t="s">
        <v>45</v>
      </c>
      <c r="C60" s="16" t="s">
        <v>176</v>
      </c>
      <c r="D60" s="16" t="s">
        <v>38</v>
      </c>
      <c r="E60" s="16" t="s">
        <v>221</v>
      </c>
      <c r="F60" s="16">
        <v>2.0</v>
      </c>
      <c r="G60" s="16">
        <v>64.0</v>
      </c>
      <c r="H60" s="16" t="s">
        <v>29</v>
      </c>
      <c r="I60" s="16" t="s">
        <v>40</v>
      </c>
      <c r="J60" s="17"/>
      <c r="K60" s="22"/>
      <c r="L60" s="16" t="s">
        <v>111</v>
      </c>
      <c r="M60" s="19" t="s">
        <v>131</v>
      </c>
      <c r="N60" s="19" t="s">
        <v>222</v>
      </c>
      <c r="O60" s="16" t="s">
        <v>40</v>
      </c>
      <c r="P60" s="16">
        <v>32.0</v>
      </c>
      <c r="Q60" s="26"/>
      <c r="R60" s="26"/>
      <c r="S60" s="26"/>
      <c r="T60" s="22"/>
      <c r="U60" s="22"/>
      <c r="V60" s="22"/>
      <c r="W60" s="22"/>
      <c r="X60" s="22"/>
      <c r="Y60" s="22"/>
      <c r="Z60" s="22"/>
    </row>
    <row r="61" ht="15.75" customHeight="1">
      <c r="A61" s="15">
        <v>44999.19615899306</v>
      </c>
      <c r="B61" s="16" t="s">
        <v>223</v>
      </c>
      <c r="C61" s="16" t="s">
        <v>176</v>
      </c>
      <c r="D61" s="16" t="s">
        <v>38</v>
      </c>
      <c r="E61" s="16" t="s">
        <v>224</v>
      </c>
      <c r="F61" s="16">
        <v>2.0</v>
      </c>
      <c r="G61" s="16">
        <v>32.0</v>
      </c>
      <c r="H61" s="16" t="s">
        <v>29</v>
      </c>
      <c r="I61" s="16" t="s">
        <v>40</v>
      </c>
      <c r="J61" s="17"/>
      <c r="K61" s="22"/>
      <c r="L61" s="16" t="s">
        <v>93</v>
      </c>
      <c r="M61" s="25" t="s">
        <v>225</v>
      </c>
      <c r="N61" s="19" t="s">
        <v>226</v>
      </c>
      <c r="O61" s="16" t="s">
        <v>40</v>
      </c>
      <c r="P61" s="16">
        <v>16.0</v>
      </c>
      <c r="Q61" s="26"/>
      <c r="R61" s="26"/>
      <c r="S61" s="26"/>
      <c r="T61" s="22"/>
      <c r="U61" s="22"/>
      <c r="V61" s="22"/>
      <c r="W61" s="22"/>
      <c r="X61" s="22"/>
      <c r="Y61" s="22"/>
      <c r="Z61" s="22"/>
    </row>
    <row r="62" ht="15.75" customHeight="1">
      <c r="A62" s="15">
        <v>44999.66356052083</v>
      </c>
      <c r="B62" s="16" t="s">
        <v>124</v>
      </c>
      <c r="C62" s="16" t="s">
        <v>176</v>
      </c>
      <c r="D62" s="16" t="s">
        <v>38</v>
      </c>
      <c r="E62" s="16" t="s">
        <v>153</v>
      </c>
      <c r="F62" s="16">
        <v>1.0</v>
      </c>
      <c r="G62" s="16">
        <v>10.0</v>
      </c>
      <c r="H62" s="16" t="s">
        <v>29</v>
      </c>
      <c r="I62" s="16" t="s">
        <v>40</v>
      </c>
      <c r="J62" s="17"/>
      <c r="K62" s="16" t="s">
        <v>227</v>
      </c>
      <c r="L62" s="16" t="s">
        <v>103</v>
      </c>
      <c r="M62" s="25" t="s">
        <v>122</v>
      </c>
      <c r="N62" s="17"/>
      <c r="O62" s="16" t="s">
        <v>40</v>
      </c>
      <c r="P62" s="16">
        <v>8.0</v>
      </c>
      <c r="Q62" s="26"/>
      <c r="R62" s="26"/>
      <c r="S62" s="26"/>
      <c r="T62" s="22"/>
      <c r="U62" s="22"/>
      <c r="V62" s="22"/>
      <c r="W62" s="22"/>
      <c r="X62" s="22"/>
      <c r="Y62" s="22"/>
      <c r="Z62" s="22"/>
    </row>
    <row r="63" ht="15.75" customHeight="1">
      <c r="A63" s="15">
        <v>45000.4738866088</v>
      </c>
      <c r="B63" s="16" t="s">
        <v>124</v>
      </c>
      <c r="C63" s="16" t="s">
        <v>176</v>
      </c>
      <c r="D63" s="16" t="s">
        <v>27</v>
      </c>
      <c r="E63" s="16" t="s">
        <v>228</v>
      </c>
      <c r="F63" s="16">
        <v>1.0</v>
      </c>
      <c r="G63" s="16">
        <v>6.0</v>
      </c>
      <c r="H63" s="16" t="s">
        <v>29</v>
      </c>
      <c r="I63" s="16" t="s">
        <v>29</v>
      </c>
      <c r="J63" s="17"/>
      <c r="K63" s="16" t="s">
        <v>229</v>
      </c>
      <c r="L63" s="16" t="s">
        <v>31</v>
      </c>
      <c r="M63" s="25" t="s">
        <v>230</v>
      </c>
      <c r="N63" s="17"/>
      <c r="O63" s="16" t="s">
        <v>40</v>
      </c>
      <c r="P63" s="16">
        <v>4.0</v>
      </c>
      <c r="Q63" s="26"/>
      <c r="R63" s="26"/>
      <c r="S63" s="26"/>
      <c r="T63" s="22"/>
      <c r="U63" s="22"/>
      <c r="V63" s="22"/>
      <c r="W63" s="22"/>
      <c r="X63" s="22"/>
      <c r="Y63" s="22"/>
      <c r="Z63" s="22"/>
    </row>
    <row r="64" ht="15.75" customHeight="1">
      <c r="A64" s="15">
        <v>45002.91498368056</v>
      </c>
      <c r="B64" s="16" t="s">
        <v>124</v>
      </c>
      <c r="C64" s="16" t="s">
        <v>176</v>
      </c>
      <c r="D64" s="16" t="s">
        <v>27</v>
      </c>
      <c r="E64" s="16" t="s">
        <v>231</v>
      </c>
      <c r="F64" s="16">
        <v>1.0</v>
      </c>
      <c r="G64" s="16">
        <v>10.0</v>
      </c>
      <c r="H64" s="16" t="s">
        <v>29</v>
      </c>
      <c r="I64" s="16" t="s">
        <v>29</v>
      </c>
      <c r="J64" s="19" t="s">
        <v>232</v>
      </c>
      <c r="K64" s="16" t="s">
        <v>233</v>
      </c>
      <c r="L64" s="16" t="s">
        <v>103</v>
      </c>
      <c r="M64" s="25" t="s">
        <v>122</v>
      </c>
      <c r="N64" s="17"/>
      <c r="O64" s="16" t="s">
        <v>40</v>
      </c>
      <c r="P64" s="16">
        <v>8.0</v>
      </c>
      <c r="Q64" s="26"/>
      <c r="R64" s="26"/>
      <c r="S64" s="26"/>
      <c r="T64" s="22"/>
      <c r="U64" s="22"/>
      <c r="V64" s="22"/>
      <c r="W64" s="22"/>
      <c r="X64" s="22"/>
      <c r="Y64" s="22"/>
      <c r="Z64" s="22"/>
    </row>
    <row r="65" ht="15.75" customHeight="1">
      <c r="A65" s="15">
        <v>45004.78345728009</v>
      </c>
      <c r="B65" s="16" t="s">
        <v>234</v>
      </c>
      <c r="C65" s="16" t="s">
        <v>176</v>
      </c>
      <c r="D65" s="16" t="s">
        <v>235</v>
      </c>
      <c r="E65" s="16" t="s">
        <v>236</v>
      </c>
      <c r="F65" s="16">
        <v>2.0</v>
      </c>
      <c r="G65" s="16">
        <v>32.0</v>
      </c>
      <c r="H65" s="16" t="s">
        <v>29</v>
      </c>
      <c r="I65" s="16" t="s">
        <v>40</v>
      </c>
      <c r="J65" s="19" t="s">
        <v>237</v>
      </c>
      <c r="K65" s="16" t="s">
        <v>238</v>
      </c>
      <c r="L65" s="16" t="s">
        <v>239</v>
      </c>
      <c r="M65" s="19" t="s">
        <v>109</v>
      </c>
      <c r="N65" s="17"/>
      <c r="O65" s="16" t="s">
        <v>29</v>
      </c>
      <c r="P65" s="16">
        <v>16.0</v>
      </c>
      <c r="Q65" s="26"/>
      <c r="R65" s="26"/>
      <c r="S65" s="26"/>
      <c r="T65" s="22"/>
      <c r="U65" s="22"/>
      <c r="V65" s="22"/>
      <c r="W65" s="22"/>
      <c r="X65" s="22"/>
      <c r="Y65" s="22"/>
      <c r="Z65" s="22"/>
    </row>
    <row r="66" ht="15.75" customHeight="1">
      <c r="A66" s="15">
        <v>45011.74570060185</v>
      </c>
      <c r="B66" s="16" t="s">
        <v>2</v>
      </c>
      <c r="C66" s="16" t="s">
        <v>176</v>
      </c>
      <c r="D66" s="16" t="s">
        <v>27</v>
      </c>
      <c r="E66" s="16" t="s">
        <v>240</v>
      </c>
      <c r="F66" s="16">
        <v>2.0</v>
      </c>
      <c r="G66" s="16">
        <v>32.0</v>
      </c>
      <c r="H66" s="16" t="s">
        <v>29</v>
      </c>
      <c r="I66" s="16" t="s">
        <v>29</v>
      </c>
      <c r="J66" s="19" t="s">
        <v>241</v>
      </c>
      <c r="K66" s="16" t="s">
        <v>242</v>
      </c>
      <c r="L66" s="16" t="s">
        <v>31</v>
      </c>
      <c r="M66" s="19" t="s">
        <v>243</v>
      </c>
      <c r="N66" s="19" t="s">
        <v>244</v>
      </c>
      <c r="O66" s="16" t="s">
        <v>29</v>
      </c>
      <c r="P66" s="16">
        <v>16.0</v>
      </c>
      <c r="Q66" s="26"/>
      <c r="R66" s="26"/>
      <c r="S66" s="26"/>
      <c r="T66" s="22"/>
      <c r="U66" s="22"/>
      <c r="V66" s="22"/>
      <c r="W66" s="22"/>
      <c r="X66" s="22"/>
      <c r="Y66" s="22"/>
      <c r="Z66" s="22"/>
    </row>
    <row r="67" ht="15.75" customHeight="1">
      <c r="A67" s="15">
        <v>45013.67034986111</v>
      </c>
      <c r="B67" s="16" t="s">
        <v>169</v>
      </c>
      <c r="C67" s="16" t="s">
        <v>62</v>
      </c>
      <c r="D67" s="16" t="s">
        <v>245</v>
      </c>
      <c r="E67" s="16" t="s">
        <v>246</v>
      </c>
      <c r="F67" s="16">
        <v>2.0</v>
      </c>
      <c r="G67" s="16">
        <v>32.0</v>
      </c>
      <c r="H67" s="16" t="s">
        <v>29</v>
      </c>
      <c r="I67" s="16" t="s">
        <v>40</v>
      </c>
      <c r="J67" s="17"/>
      <c r="K67" s="16" t="s">
        <v>247</v>
      </c>
      <c r="L67" s="16" t="s">
        <v>111</v>
      </c>
      <c r="M67" s="19" t="s">
        <v>248</v>
      </c>
      <c r="N67" s="17"/>
      <c r="O67" s="16" t="s">
        <v>126</v>
      </c>
      <c r="P67" s="16">
        <v>32.0</v>
      </c>
      <c r="Q67" s="26"/>
      <c r="R67" s="26"/>
      <c r="S67" s="26"/>
      <c r="T67" s="22"/>
      <c r="U67" s="22"/>
      <c r="V67" s="22"/>
      <c r="W67" s="22"/>
      <c r="X67" s="22"/>
      <c r="Y67" s="22"/>
      <c r="Z67" s="22"/>
    </row>
    <row r="68" ht="15.75" customHeight="1">
      <c r="A68" s="15">
        <v>45013.93505053241</v>
      </c>
      <c r="B68" s="16" t="s">
        <v>2</v>
      </c>
      <c r="C68" s="16" t="s">
        <v>176</v>
      </c>
      <c r="D68" s="16" t="s">
        <v>38</v>
      </c>
      <c r="E68" s="16" t="s">
        <v>249</v>
      </c>
      <c r="F68" s="16">
        <v>2.0</v>
      </c>
      <c r="G68" s="16">
        <v>32.0</v>
      </c>
      <c r="H68" s="16" t="s">
        <v>29</v>
      </c>
      <c r="I68" s="16" t="s">
        <v>40</v>
      </c>
      <c r="J68" s="17"/>
      <c r="K68" s="22"/>
      <c r="L68" s="16" t="s">
        <v>31</v>
      </c>
      <c r="M68" s="18" t="s">
        <v>32</v>
      </c>
      <c r="N68" s="19" t="s">
        <v>250</v>
      </c>
      <c r="O68" s="16" t="s">
        <v>40</v>
      </c>
      <c r="P68" s="16">
        <v>16.0</v>
      </c>
      <c r="Q68" s="26"/>
      <c r="R68" s="26"/>
      <c r="S68" s="26"/>
      <c r="T68" s="22"/>
      <c r="U68" s="22"/>
      <c r="V68" s="22"/>
      <c r="W68" s="22"/>
      <c r="X68" s="22"/>
      <c r="Y68" s="22"/>
      <c r="Z68" s="22"/>
    </row>
    <row r="69" ht="15.75" customHeight="1">
      <c r="A69" s="15">
        <v>45014.35644916666</v>
      </c>
      <c r="B69" s="16" t="s">
        <v>169</v>
      </c>
      <c r="C69" s="16" t="s">
        <v>176</v>
      </c>
      <c r="D69" s="16" t="s">
        <v>27</v>
      </c>
      <c r="E69" s="16" t="s">
        <v>52</v>
      </c>
      <c r="F69" s="16">
        <v>2.0</v>
      </c>
      <c r="G69" s="16">
        <v>64.0</v>
      </c>
      <c r="H69" s="16" t="s">
        <v>29</v>
      </c>
      <c r="I69" s="16" t="s">
        <v>29</v>
      </c>
      <c r="J69" s="17"/>
      <c r="K69" s="16" t="s">
        <v>251</v>
      </c>
      <c r="L69" s="16" t="s">
        <v>252</v>
      </c>
      <c r="M69" s="25" t="s">
        <v>253</v>
      </c>
      <c r="N69" s="17"/>
      <c r="O69" s="16" t="s">
        <v>40</v>
      </c>
      <c r="P69" s="16">
        <v>32.0</v>
      </c>
      <c r="Q69" s="26"/>
      <c r="R69" s="26"/>
      <c r="S69" s="26"/>
      <c r="T69" s="22"/>
      <c r="U69" s="22"/>
      <c r="V69" s="22"/>
      <c r="W69" s="22"/>
      <c r="X69" s="22"/>
      <c r="Y69" s="22"/>
      <c r="Z69" s="22"/>
    </row>
    <row r="70" ht="15.75" customHeight="1">
      <c r="A70" s="15">
        <v>45015.684758055555</v>
      </c>
      <c r="B70" s="16" t="s">
        <v>254</v>
      </c>
      <c r="C70" s="22"/>
      <c r="D70" s="16" t="s">
        <v>38</v>
      </c>
      <c r="E70" s="16" t="s">
        <v>43</v>
      </c>
      <c r="F70" s="16">
        <v>2.0</v>
      </c>
      <c r="G70" s="16">
        <v>48.0</v>
      </c>
      <c r="H70" s="16" t="s">
        <v>29</v>
      </c>
      <c r="I70" s="16" t="s">
        <v>40</v>
      </c>
      <c r="J70" s="17"/>
      <c r="K70" s="16" t="s">
        <v>255</v>
      </c>
      <c r="L70" s="16" t="s">
        <v>103</v>
      </c>
      <c r="M70" s="19" t="s">
        <v>210</v>
      </c>
      <c r="N70" s="17"/>
      <c r="O70" s="16" t="s">
        <v>40</v>
      </c>
      <c r="P70" s="16">
        <v>16.0</v>
      </c>
      <c r="Q70" s="26"/>
      <c r="R70" s="26"/>
      <c r="S70" s="26"/>
      <c r="T70" s="22"/>
      <c r="U70" s="22"/>
      <c r="V70" s="22"/>
      <c r="W70" s="22"/>
      <c r="X70" s="22"/>
      <c r="Y70" s="22"/>
      <c r="Z70" s="22"/>
    </row>
    <row r="71" ht="15.75" customHeight="1">
      <c r="A71" s="15">
        <v>45015.68542571759</v>
      </c>
      <c r="B71" s="16" t="s">
        <v>254</v>
      </c>
      <c r="C71" s="16" t="s">
        <v>256</v>
      </c>
      <c r="D71" s="16" t="s">
        <v>38</v>
      </c>
      <c r="E71" s="16" t="s">
        <v>177</v>
      </c>
      <c r="F71" s="16">
        <v>2.0</v>
      </c>
      <c r="G71" s="16">
        <v>32.0</v>
      </c>
      <c r="H71" s="16" t="s">
        <v>29</v>
      </c>
      <c r="I71" s="16" t="s">
        <v>40</v>
      </c>
      <c r="J71" s="17"/>
      <c r="K71" s="16" t="s">
        <v>255</v>
      </c>
      <c r="L71" s="16" t="s">
        <v>103</v>
      </c>
      <c r="M71" s="19" t="s">
        <v>210</v>
      </c>
      <c r="N71" s="17"/>
      <c r="O71" s="16" t="s">
        <v>40</v>
      </c>
      <c r="P71" s="16">
        <v>8.0</v>
      </c>
      <c r="Q71" s="26"/>
      <c r="R71" s="26"/>
      <c r="S71" s="26"/>
      <c r="T71" s="22"/>
      <c r="U71" s="22"/>
      <c r="V71" s="22"/>
      <c r="W71" s="22"/>
      <c r="X71" s="22"/>
      <c r="Y71" s="22"/>
      <c r="Z71" s="22"/>
    </row>
    <row r="72" ht="15.75" customHeight="1">
      <c r="A72" s="15">
        <v>45015.686307870375</v>
      </c>
      <c r="B72" s="16" t="s">
        <v>254</v>
      </c>
      <c r="C72" s="16" t="s">
        <v>256</v>
      </c>
      <c r="D72" s="16" t="s">
        <v>27</v>
      </c>
      <c r="E72" s="16" t="s">
        <v>257</v>
      </c>
      <c r="F72" s="16">
        <v>2.0</v>
      </c>
      <c r="G72" s="16">
        <v>48.0</v>
      </c>
      <c r="H72" s="16" t="s">
        <v>40</v>
      </c>
      <c r="I72" s="22"/>
      <c r="J72" s="17"/>
      <c r="K72" s="16" t="s">
        <v>255</v>
      </c>
      <c r="L72" s="16" t="s">
        <v>103</v>
      </c>
      <c r="M72" s="19" t="s">
        <v>210</v>
      </c>
      <c r="N72" s="17"/>
      <c r="O72" s="16" t="s">
        <v>29</v>
      </c>
      <c r="P72" s="16">
        <v>16.0</v>
      </c>
      <c r="Q72" s="26"/>
      <c r="R72" s="26"/>
      <c r="S72" s="26"/>
      <c r="T72" s="22"/>
      <c r="U72" s="22"/>
      <c r="V72" s="22"/>
      <c r="W72" s="22"/>
      <c r="X72" s="22"/>
      <c r="Y72" s="22"/>
      <c r="Z72" s="22"/>
    </row>
    <row r="73" ht="15.75" customHeight="1">
      <c r="A73" s="15">
        <v>45015.68707940972</v>
      </c>
      <c r="B73" s="16" t="s">
        <v>254</v>
      </c>
      <c r="C73" s="16" t="s">
        <v>256</v>
      </c>
      <c r="D73" s="16" t="s">
        <v>27</v>
      </c>
      <c r="E73" s="16" t="s">
        <v>28</v>
      </c>
      <c r="F73" s="16">
        <v>2.0</v>
      </c>
      <c r="G73" s="16">
        <v>48.0</v>
      </c>
      <c r="H73" s="16" t="s">
        <v>40</v>
      </c>
      <c r="I73" s="22"/>
      <c r="J73" s="17"/>
      <c r="K73" s="16" t="s">
        <v>255</v>
      </c>
      <c r="L73" s="16" t="s">
        <v>103</v>
      </c>
      <c r="M73" s="19" t="s">
        <v>210</v>
      </c>
      <c r="N73" s="17"/>
      <c r="O73" s="16" t="s">
        <v>29</v>
      </c>
      <c r="P73" s="16">
        <v>16.0</v>
      </c>
      <c r="Q73" s="26"/>
      <c r="R73" s="26"/>
      <c r="S73" s="26"/>
      <c r="T73" s="22"/>
      <c r="U73" s="22"/>
      <c r="V73" s="22"/>
      <c r="W73" s="22"/>
      <c r="X73" s="22"/>
      <c r="Y73" s="22"/>
      <c r="Z73" s="22"/>
    </row>
    <row r="74" ht="15.75" customHeight="1">
      <c r="A74" s="15">
        <v>45016.948399699075</v>
      </c>
      <c r="B74" s="16" t="s">
        <v>2</v>
      </c>
      <c r="C74" s="16" t="s">
        <v>37</v>
      </c>
      <c r="D74" s="16" t="s">
        <v>27</v>
      </c>
      <c r="E74" s="16" t="s">
        <v>28</v>
      </c>
      <c r="F74" s="16">
        <v>1.0</v>
      </c>
      <c r="G74" s="16">
        <v>20.0</v>
      </c>
      <c r="H74" s="16" t="s">
        <v>29</v>
      </c>
      <c r="I74" s="16" t="s">
        <v>40</v>
      </c>
      <c r="J74" s="17"/>
      <c r="K74" s="22"/>
      <c r="L74" s="16" t="s">
        <v>31</v>
      </c>
      <c r="M74" s="18" t="s">
        <v>32</v>
      </c>
      <c r="N74" s="19" t="s">
        <v>258</v>
      </c>
      <c r="O74" s="16" t="s">
        <v>29</v>
      </c>
      <c r="P74" s="16">
        <v>16.0</v>
      </c>
      <c r="Q74" s="26"/>
      <c r="R74" s="26"/>
      <c r="S74" s="26"/>
      <c r="T74" s="22"/>
      <c r="U74" s="22"/>
      <c r="V74" s="22"/>
      <c r="W74" s="22"/>
      <c r="X74" s="22"/>
      <c r="Y74" s="22"/>
      <c r="Z74" s="22"/>
    </row>
    <row r="75" ht="15.75" customHeight="1">
      <c r="A75" s="15">
        <v>45019.52247142361</v>
      </c>
      <c r="B75" s="16" t="s">
        <v>66</v>
      </c>
      <c r="C75" s="16" t="s">
        <v>176</v>
      </c>
      <c r="D75" s="16" t="s">
        <v>38</v>
      </c>
      <c r="E75" s="16" t="s">
        <v>259</v>
      </c>
      <c r="F75" s="16">
        <v>1.0</v>
      </c>
      <c r="G75" s="16">
        <v>18.0</v>
      </c>
      <c r="H75" s="16" t="s">
        <v>29</v>
      </c>
      <c r="I75" s="16" t="s">
        <v>40</v>
      </c>
      <c r="J75" s="17"/>
      <c r="K75" s="22"/>
      <c r="L75" s="22"/>
      <c r="M75" s="19" t="s">
        <v>260</v>
      </c>
      <c r="N75" s="17"/>
      <c r="O75" s="16" t="s">
        <v>126</v>
      </c>
      <c r="P75" s="16">
        <v>16.0</v>
      </c>
      <c r="Q75" s="26"/>
      <c r="R75" s="26"/>
      <c r="S75" s="26"/>
      <c r="T75" s="22"/>
      <c r="U75" s="22"/>
      <c r="V75" s="22"/>
      <c r="W75" s="22"/>
      <c r="X75" s="22"/>
      <c r="Y75" s="22"/>
      <c r="Z75" s="22"/>
    </row>
    <row r="76" ht="15.75" customHeight="1">
      <c r="A76" s="15">
        <v>45021.33061413195</v>
      </c>
      <c r="B76" s="16" t="s">
        <v>169</v>
      </c>
      <c r="C76" s="16" t="s">
        <v>176</v>
      </c>
      <c r="D76" s="16" t="s">
        <v>132</v>
      </c>
      <c r="E76" s="16" t="s">
        <v>133</v>
      </c>
      <c r="F76" s="16">
        <v>2.0</v>
      </c>
      <c r="G76" s="16">
        <v>32.0</v>
      </c>
      <c r="H76" s="16" t="s">
        <v>29</v>
      </c>
      <c r="I76" s="16" t="s">
        <v>40</v>
      </c>
      <c r="J76" s="19" t="s">
        <v>261</v>
      </c>
      <c r="K76" s="16" t="s">
        <v>262</v>
      </c>
      <c r="L76" s="16" t="s">
        <v>111</v>
      </c>
      <c r="M76" s="18" t="s">
        <v>263</v>
      </c>
      <c r="N76" s="19" t="s">
        <v>264</v>
      </c>
      <c r="O76" s="16" t="s">
        <v>29</v>
      </c>
      <c r="P76" s="16">
        <v>16.0</v>
      </c>
      <c r="Q76" s="26"/>
      <c r="R76" s="26"/>
      <c r="S76" s="26"/>
      <c r="T76" s="22"/>
      <c r="U76" s="22"/>
      <c r="V76" s="22"/>
      <c r="W76" s="22"/>
      <c r="X76" s="22"/>
      <c r="Y76" s="22"/>
      <c r="Z76" s="22"/>
    </row>
    <row r="77" ht="15.75" customHeight="1">
      <c r="A77" s="15">
        <v>45021.76303194444</v>
      </c>
      <c r="B77" s="16" t="s">
        <v>66</v>
      </c>
      <c r="C77" s="16" t="s">
        <v>176</v>
      </c>
      <c r="D77" s="16" t="s">
        <v>38</v>
      </c>
      <c r="E77" s="16" t="s">
        <v>265</v>
      </c>
      <c r="F77" s="16">
        <v>1.0</v>
      </c>
      <c r="G77" s="16">
        <v>10.0</v>
      </c>
      <c r="H77" s="16" t="s">
        <v>29</v>
      </c>
      <c r="I77" s="16" t="s">
        <v>40</v>
      </c>
      <c r="J77" s="17"/>
      <c r="K77" s="16" t="s">
        <v>266</v>
      </c>
      <c r="L77" s="16" t="s">
        <v>93</v>
      </c>
      <c r="M77" s="25" t="s">
        <v>225</v>
      </c>
      <c r="N77" s="17"/>
      <c r="O77" s="16" t="s">
        <v>126</v>
      </c>
      <c r="P77" s="16">
        <v>8.0</v>
      </c>
      <c r="Q77" s="26"/>
      <c r="R77" s="26"/>
      <c r="S77" s="26"/>
      <c r="T77" s="22"/>
      <c r="U77" s="22"/>
      <c r="V77" s="22"/>
      <c r="W77" s="22"/>
      <c r="X77" s="22"/>
      <c r="Y77" s="22"/>
      <c r="Z77" s="22"/>
    </row>
    <row r="78" ht="15.75" customHeight="1">
      <c r="A78" s="15">
        <v>45022.722723321756</v>
      </c>
      <c r="B78" s="16" t="s">
        <v>36</v>
      </c>
      <c r="C78" s="16" t="s">
        <v>37</v>
      </c>
      <c r="D78" s="16" t="s">
        <v>267</v>
      </c>
      <c r="E78" s="16" t="s">
        <v>268</v>
      </c>
      <c r="F78" s="16">
        <v>1.0</v>
      </c>
      <c r="G78" s="16">
        <v>20.0</v>
      </c>
      <c r="H78" s="16" t="s">
        <v>40</v>
      </c>
      <c r="I78" s="22"/>
      <c r="J78" s="17"/>
      <c r="K78" s="22"/>
      <c r="L78" s="16" t="s">
        <v>111</v>
      </c>
      <c r="M78" s="25" t="s">
        <v>50</v>
      </c>
      <c r="N78" s="17"/>
      <c r="O78" s="16" t="s">
        <v>40</v>
      </c>
      <c r="P78" s="16">
        <v>16.0</v>
      </c>
      <c r="Q78" s="26"/>
      <c r="R78" s="26"/>
      <c r="S78" s="26"/>
      <c r="T78" s="22"/>
      <c r="U78" s="22"/>
      <c r="V78" s="22"/>
      <c r="W78" s="22"/>
      <c r="X78" s="22"/>
      <c r="Y78" s="22"/>
      <c r="Z78" s="22"/>
    </row>
    <row r="79" ht="15.75" customHeight="1">
      <c r="A79" s="15">
        <v>45026.13950421296</v>
      </c>
      <c r="B79" s="16" t="s">
        <v>2</v>
      </c>
      <c r="C79" s="16" t="s">
        <v>176</v>
      </c>
      <c r="D79" s="16" t="s">
        <v>119</v>
      </c>
      <c r="E79" s="16" t="s">
        <v>269</v>
      </c>
      <c r="F79" s="16">
        <v>1.0</v>
      </c>
      <c r="G79" s="16">
        <v>20.0</v>
      </c>
      <c r="H79" s="16" t="s">
        <v>29</v>
      </c>
      <c r="I79" s="16" t="s">
        <v>40</v>
      </c>
      <c r="J79" s="19" t="s">
        <v>270</v>
      </c>
      <c r="K79" s="22"/>
      <c r="L79" s="16" t="s">
        <v>271</v>
      </c>
      <c r="M79" s="17"/>
      <c r="N79" s="19" t="s">
        <v>272</v>
      </c>
      <c r="O79" s="16" t="s">
        <v>40</v>
      </c>
      <c r="P79" s="16">
        <v>16.0</v>
      </c>
      <c r="Q79" s="26"/>
      <c r="R79" s="26"/>
      <c r="S79" s="26"/>
      <c r="T79" s="22"/>
      <c r="U79" s="22"/>
      <c r="V79" s="22"/>
      <c r="W79" s="22"/>
      <c r="X79" s="22"/>
      <c r="Y79" s="22"/>
      <c r="Z79" s="22"/>
    </row>
    <row r="80" ht="15.75" customHeight="1">
      <c r="A80" s="15">
        <v>45026.88960119213</v>
      </c>
      <c r="B80" s="16" t="s">
        <v>36</v>
      </c>
      <c r="C80" s="16" t="s">
        <v>273</v>
      </c>
      <c r="D80" s="16" t="s">
        <v>47</v>
      </c>
      <c r="E80" s="16" t="s">
        <v>173</v>
      </c>
      <c r="F80" s="16">
        <v>2.0</v>
      </c>
      <c r="G80" s="16">
        <v>32.0</v>
      </c>
      <c r="H80" s="16" t="s">
        <v>29</v>
      </c>
      <c r="I80" s="16" t="s">
        <v>40</v>
      </c>
      <c r="J80" s="17"/>
      <c r="K80" s="22"/>
      <c r="L80" s="16" t="s">
        <v>111</v>
      </c>
      <c r="M80" s="19" t="s">
        <v>210</v>
      </c>
      <c r="N80" s="17"/>
      <c r="O80" s="16" t="s">
        <v>29</v>
      </c>
      <c r="P80" s="16">
        <v>16.0</v>
      </c>
      <c r="Q80" s="26"/>
      <c r="R80" s="26"/>
      <c r="S80" s="26"/>
      <c r="T80" s="22"/>
      <c r="U80" s="22"/>
      <c r="V80" s="22"/>
      <c r="W80" s="22"/>
      <c r="X80" s="22"/>
      <c r="Y80" s="22"/>
      <c r="Z80" s="22"/>
    </row>
    <row r="81" ht="15.75" customHeight="1">
      <c r="A81" s="15">
        <v>45027.67119625</v>
      </c>
      <c r="B81" s="16" t="s">
        <v>45</v>
      </c>
      <c r="C81" s="16" t="s">
        <v>176</v>
      </c>
      <c r="D81" s="16" t="s">
        <v>27</v>
      </c>
      <c r="E81" s="16" t="s">
        <v>240</v>
      </c>
      <c r="F81" s="16">
        <v>2.0</v>
      </c>
      <c r="G81" s="16">
        <v>32.0</v>
      </c>
      <c r="H81" s="16" t="s">
        <v>29</v>
      </c>
      <c r="I81" s="16" t="s">
        <v>29</v>
      </c>
      <c r="J81" s="17"/>
      <c r="K81" s="22"/>
      <c r="L81" s="16" t="s">
        <v>103</v>
      </c>
      <c r="M81" s="25" t="s">
        <v>159</v>
      </c>
      <c r="N81" s="17"/>
      <c r="O81" s="16" t="s">
        <v>29</v>
      </c>
      <c r="P81" s="16">
        <v>16.0</v>
      </c>
      <c r="Q81" s="26"/>
      <c r="R81" s="26"/>
      <c r="S81" s="26"/>
      <c r="T81" s="22"/>
      <c r="U81" s="22"/>
      <c r="V81" s="22"/>
      <c r="W81" s="22"/>
      <c r="X81" s="22"/>
      <c r="Y81" s="22"/>
      <c r="Z81" s="22"/>
    </row>
    <row r="82" ht="15.75" customHeight="1">
      <c r="A82" s="15">
        <v>45027.72954403935</v>
      </c>
      <c r="B82" s="16" t="s">
        <v>42</v>
      </c>
      <c r="C82" s="16" t="s">
        <v>100</v>
      </c>
      <c r="D82" s="16" t="s">
        <v>38</v>
      </c>
      <c r="E82" s="16" t="s">
        <v>43</v>
      </c>
      <c r="F82" s="22"/>
      <c r="G82" s="16">
        <v>32.0</v>
      </c>
      <c r="H82" s="16" t="s">
        <v>29</v>
      </c>
      <c r="I82" s="16" t="s">
        <v>29</v>
      </c>
      <c r="J82" s="17"/>
      <c r="K82" s="22"/>
      <c r="L82" s="22"/>
      <c r="M82" s="17"/>
      <c r="N82" s="17"/>
      <c r="O82" s="22"/>
      <c r="P82" s="22"/>
      <c r="Q82" s="22"/>
      <c r="R82" s="22"/>
      <c r="S82" s="22"/>
      <c r="T82" s="22"/>
      <c r="U82" s="22"/>
      <c r="V82" s="22"/>
      <c r="W82" s="22"/>
      <c r="X82" s="22"/>
      <c r="Y82" s="22"/>
      <c r="Z82" s="22"/>
    </row>
    <row r="83" ht="15.75" customHeight="1">
      <c r="A83" s="15">
        <v>45028.583675671296</v>
      </c>
      <c r="B83" s="16" t="s">
        <v>138</v>
      </c>
      <c r="C83" s="16" t="s">
        <v>274</v>
      </c>
      <c r="D83" s="16" t="s">
        <v>27</v>
      </c>
      <c r="E83" s="16" t="s">
        <v>28</v>
      </c>
      <c r="F83" s="16">
        <v>2.0</v>
      </c>
      <c r="G83" s="16">
        <v>32.0</v>
      </c>
      <c r="H83" s="16" t="s">
        <v>29</v>
      </c>
      <c r="I83" s="16" t="s">
        <v>29</v>
      </c>
      <c r="J83" s="17"/>
      <c r="K83" s="22"/>
      <c r="L83" s="16" t="s">
        <v>93</v>
      </c>
      <c r="M83" s="25" t="s">
        <v>50</v>
      </c>
      <c r="N83" s="17"/>
      <c r="O83" s="16" t="s">
        <v>29</v>
      </c>
      <c r="P83" s="16">
        <v>16.0</v>
      </c>
      <c r="Q83" s="26"/>
      <c r="R83" s="26"/>
      <c r="S83" s="26"/>
      <c r="T83" s="22"/>
      <c r="U83" s="22"/>
      <c r="V83" s="22"/>
      <c r="W83" s="22"/>
      <c r="X83" s="22"/>
      <c r="Y83" s="22"/>
      <c r="Z83" s="22"/>
    </row>
    <row r="84" ht="15.75" customHeight="1">
      <c r="A84" s="15">
        <v>45029.08069560185</v>
      </c>
      <c r="B84" s="16" t="s">
        <v>99</v>
      </c>
      <c r="C84" s="16" t="s">
        <v>176</v>
      </c>
      <c r="D84" s="16" t="s">
        <v>27</v>
      </c>
      <c r="E84" s="16" t="s">
        <v>28</v>
      </c>
      <c r="F84" s="16">
        <v>2.0</v>
      </c>
      <c r="G84" s="16">
        <v>32.0</v>
      </c>
      <c r="H84" s="16" t="s">
        <v>29</v>
      </c>
      <c r="I84" s="16" t="s">
        <v>40</v>
      </c>
      <c r="J84" s="17"/>
      <c r="K84" s="16" t="s">
        <v>275</v>
      </c>
      <c r="L84" s="16" t="s">
        <v>111</v>
      </c>
      <c r="M84" s="25" t="s">
        <v>50</v>
      </c>
      <c r="N84" s="17"/>
      <c r="O84" s="16" t="s">
        <v>29</v>
      </c>
      <c r="P84" s="16">
        <v>16.0</v>
      </c>
      <c r="Q84" s="26"/>
      <c r="R84" s="26"/>
      <c r="S84" s="26"/>
      <c r="T84" s="22"/>
      <c r="U84" s="22"/>
      <c r="V84" s="22"/>
      <c r="W84" s="22"/>
      <c r="X84" s="22"/>
      <c r="Y84" s="22"/>
      <c r="Z84" s="22"/>
    </row>
    <row r="85" ht="15.75" customHeight="1">
      <c r="A85" s="15">
        <v>45030.65206332176</v>
      </c>
      <c r="B85" s="16" t="s">
        <v>45</v>
      </c>
      <c r="C85" s="16" t="s">
        <v>176</v>
      </c>
      <c r="D85" s="16" t="s">
        <v>86</v>
      </c>
      <c r="E85" s="16" t="s">
        <v>276</v>
      </c>
      <c r="F85" s="16">
        <v>2.0</v>
      </c>
      <c r="G85" s="16">
        <v>32.0</v>
      </c>
      <c r="H85" s="16" t="s">
        <v>29</v>
      </c>
      <c r="I85" s="16" t="s">
        <v>40</v>
      </c>
      <c r="J85" s="17"/>
      <c r="K85" s="22"/>
      <c r="L85" s="16" t="s">
        <v>103</v>
      </c>
      <c r="M85" s="25" t="s">
        <v>122</v>
      </c>
      <c r="N85" s="17"/>
      <c r="O85" s="16" t="s">
        <v>40</v>
      </c>
      <c r="P85" s="16">
        <v>16.0</v>
      </c>
      <c r="Q85" s="26"/>
      <c r="R85" s="26"/>
      <c r="S85" s="26"/>
      <c r="T85" s="22"/>
      <c r="U85" s="22"/>
      <c r="V85" s="22"/>
      <c r="W85" s="22"/>
      <c r="X85" s="22"/>
      <c r="Y85" s="22"/>
      <c r="Z85" s="22"/>
    </row>
    <row r="86" ht="15.75" customHeight="1">
      <c r="A86" s="15">
        <v>45031.75599965278</v>
      </c>
      <c r="B86" s="16" t="s">
        <v>124</v>
      </c>
      <c r="C86" s="16" t="s">
        <v>176</v>
      </c>
      <c r="D86" s="16" t="s">
        <v>38</v>
      </c>
      <c r="E86" s="16" t="s">
        <v>68</v>
      </c>
      <c r="F86" s="16">
        <v>1.0</v>
      </c>
      <c r="G86" s="16">
        <v>10.0</v>
      </c>
      <c r="H86" s="16" t="s">
        <v>29</v>
      </c>
      <c r="I86" s="16" t="s">
        <v>40</v>
      </c>
      <c r="J86" s="19" t="s">
        <v>277</v>
      </c>
      <c r="K86" s="16" t="s">
        <v>278</v>
      </c>
      <c r="L86" s="16" t="s">
        <v>111</v>
      </c>
      <c r="M86" s="19" t="s">
        <v>279</v>
      </c>
      <c r="N86" s="17"/>
      <c r="O86" s="16" t="s">
        <v>40</v>
      </c>
      <c r="P86" s="16">
        <v>8.0</v>
      </c>
      <c r="Q86" s="26"/>
      <c r="R86" s="26"/>
      <c r="S86" s="26"/>
      <c r="T86" s="22"/>
      <c r="U86" s="22"/>
      <c r="V86" s="22"/>
      <c r="W86" s="22"/>
      <c r="X86" s="22"/>
      <c r="Y86" s="22"/>
      <c r="Z86" s="22"/>
    </row>
    <row r="87" ht="15.75" customHeight="1">
      <c r="A87" s="15">
        <v>45031.81763988426</v>
      </c>
      <c r="B87" s="16" t="s">
        <v>66</v>
      </c>
      <c r="C87" s="16" t="s">
        <v>176</v>
      </c>
      <c r="D87" s="16" t="s">
        <v>38</v>
      </c>
      <c r="E87" s="16" t="s">
        <v>59</v>
      </c>
      <c r="F87" s="16">
        <v>1.0</v>
      </c>
      <c r="G87" s="16">
        <v>18.0</v>
      </c>
      <c r="H87" s="16" t="s">
        <v>29</v>
      </c>
      <c r="I87" s="16" t="s">
        <v>40</v>
      </c>
      <c r="J87" s="19" t="s">
        <v>280</v>
      </c>
      <c r="K87" s="16" t="s">
        <v>266</v>
      </c>
      <c r="L87" s="16" t="s">
        <v>93</v>
      </c>
      <c r="M87" s="25" t="s">
        <v>168</v>
      </c>
      <c r="N87" s="17"/>
      <c r="O87" s="16" t="s">
        <v>40</v>
      </c>
      <c r="P87" s="16">
        <v>16.0</v>
      </c>
      <c r="Q87" s="26"/>
      <c r="R87" s="26"/>
      <c r="S87" s="26"/>
      <c r="T87" s="22"/>
      <c r="U87" s="22"/>
      <c r="V87" s="22"/>
      <c r="W87" s="22"/>
      <c r="X87" s="22"/>
      <c r="Y87" s="22"/>
      <c r="Z87" s="22"/>
    </row>
    <row r="88" ht="15.75" customHeight="1">
      <c r="A88" s="15">
        <v>45032.078008240744</v>
      </c>
      <c r="B88" s="16" t="s">
        <v>42</v>
      </c>
      <c r="C88" s="16" t="s">
        <v>176</v>
      </c>
      <c r="D88" s="16" t="s">
        <v>132</v>
      </c>
      <c r="E88" s="16" t="s">
        <v>281</v>
      </c>
      <c r="F88" s="16">
        <v>2.0</v>
      </c>
      <c r="G88" s="16">
        <v>64.0</v>
      </c>
      <c r="H88" s="16" t="s">
        <v>40</v>
      </c>
      <c r="I88" s="16" t="s">
        <v>40</v>
      </c>
      <c r="J88" s="19" t="s">
        <v>282</v>
      </c>
      <c r="K88" s="16" t="s">
        <v>283</v>
      </c>
      <c r="L88" s="16" t="s">
        <v>111</v>
      </c>
      <c r="M88" s="19" t="s">
        <v>109</v>
      </c>
      <c r="N88" s="19" t="s">
        <v>284</v>
      </c>
      <c r="O88" s="16" t="s">
        <v>29</v>
      </c>
      <c r="P88" s="16">
        <v>32.0</v>
      </c>
      <c r="Q88" s="26"/>
      <c r="R88" s="26"/>
      <c r="S88" s="26"/>
      <c r="T88" s="22"/>
      <c r="U88" s="22"/>
      <c r="V88" s="22"/>
      <c r="W88" s="22"/>
      <c r="X88" s="22"/>
      <c r="Y88" s="22"/>
      <c r="Z88" s="22"/>
    </row>
    <row r="89" ht="15.75" customHeight="1">
      <c r="A89" s="15">
        <v>45032.66778777778</v>
      </c>
      <c r="B89" s="16" t="s">
        <v>36</v>
      </c>
      <c r="C89" s="16" t="s">
        <v>176</v>
      </c>
      <c r="D89" s="16" t="s">
        <v>38</v>
      </c>
      <c r="E89" s="16" t="s">
        <v>68</v>
      </c>
      <c r="F89" s="16">
        <v>1.0</v>
      </c>
      <c r="G89" s="16">
        <v>16.0</v>
      </c>
      <c r="H89" s="16" t="s">
        <v>29</v>
      </c>
      <c r="I89" s="16" t="s">
        <v>40</v>
      </c>
      <c r="J89" s="17"/>
      <c r="K89" s="16" t="s">
        <v>285</v>
      </c>
      <c r="L89" s="16" t="s">
        <v>286</v>
      </c>
      <c r="M89" s="25" t="s">
        <v>50</v>
      </c>
      <c r="N89" s="17"/>
      <c r="O89" s="16" t="s">
        <v>126</v>
      </c>
      <c r="P89" s="16">
        <v>8.0</v>
      </c>
      <c r="Q89" s="26"/>
      <c r="R89" s="26"/>
      <c r="S89" s="26"/>
      <c r="T89" s="22"/>
      <c r="U89" s="22"/>
      <c r="V89" s="22"/>
      <c r="W89" s="22"/>
      <c r="X89" s="22"/>
      <c r="Y89" s="22"/>
      <c r="Z89" s="22"/>
    </row>
    <row r="90" ht="15.75" customHeight="1">
      <c r="A90" s="15">
        <v>45033.60921664352</v>
      </c>
      <c r="B90" s="16" t="s">
        <v>138</v>
      </c>
      <c r="C90" s="16" t="s">
        <v>176</v>
      </c>
      <c r="D90" s="16" t="s">
        <v>38</v>
      </c>
      <c r="E90" s="16" t="s">
        <v>153</v>
      </c>
      <c r="F90" s="16">
        <v>2.0</v>
      </c>
      <c r="G90" s="16">
        <v>16.0</v>
      </c>
      <c r="H90" s="16" t="s">
        <v>29</v>
      </c>
      <c r="I90" s="16" t="s">
        <v>40</v>
      </c>
      <c r="J90" s="17"/>
      <c r="K90" s="16" t="s">
        <v>287</v>
      </c>
      <c r="L90" s="16" t="s">
        <v>103</v>
      </c>
      <c r="M90" s="19" t="s">
        <v>210</v>
      </c>
      <c r="N90" s="17"/>
      <c r="O90" s="16" t="s">
        <v>40</v>
      </c>
      <c r="P90" s="16">
        <v>8.0</v>
      </c>
      <c r="Q90" s="26"/>
      <c r="R90" s="26"/>
      <c r="S90" s="26"/>
      <c r="T90" s="22"/>
      <c r="U90" s="22"/>
      <c r="V90" s="22"/>
      <c r="W90" s="22"/>
      <c r="X90" s="22"/>
      <c r="Y90" s="22"/>
      <c r="Z90" s="22"/>
    </row>
    <row r="91" ht="15.75" customHeight="1">
      <c r="A91" s="15">
        <v>45035.781847743056</v>
      </c>
      <c r="B91" s="16" t="s">
        <v>288</v>
      </c>
      <c r="C91" s="16" t="s">
        <v>176</v>
      </c>
      <c r="D91" s="16" t="s">
        <v>107</v>
      </c>
      <c r="E91" s="16" t="s">
        <v>289</v>
      </c>
      <c r="F91" s="16">
        <v>1.0</v>
      </c>
      <c r="G91" s="16">
        <v>10.0</v>
      </c>
      <c r="H91" s="16" t="s">
        <v>29</v>
      </c>
      <c r="I91" s="16" t="s">
        <v>40</v>
      </c>
      <c r="J91" s="17"/>
      <c r="K91" s="16" t="s">
        <v>290</v>
      </c>
      <c r="L91" s="22"/>
      <c r="M91" s="17"/>
      <c r="N91" s="17"/>
      <c r="O91" s="16" t="s">
        <v>40</v>
      </c>
      <c r="P91" s="16">
        <v>8.0</v>
      </c>
      <c r="Q91" s="26"/>
      <c r="R91" s="26"/>
      <c r="S91" s="26"/>
      <c r="T91" s="22"/>
      <c r="U91" s="22"/>
      <c r="V91" s="22"/>
      <c r="W91" s="22"/>
      <c r="X91" s="22"/>
      <c r="Y91" s="22"/>
      <c r="Z91" s="22"/>
    </row>
    <row r="92" ht="15.75" customHeight="1">
      <c r="A92" s="15">
        <v>45036.74770890047</v>
      </c>
      <c r="B92" s="16" t="s">
        <v>61</v>
      </c>
      <c r="C92" s="16" t="s">
        <v>291</v>
      </c>
      <c r="D92" s="16" t="s">
        <v>38</v>
      </c>
      <c r="E92" s="16" t="s">
        <v>75</v>
      </c>
      <c r="F92" s="16">
        <v>2.0</v>
      </c>
      <c r="G92" s="16">
        <v>16.0</v>
      </c>
      <c r="H92" s="16" t="s">
        <v>29</v>
      </c>
      <c r="I92" s="16" t="s">
        <v>40</v>
      </c>
      <c r="J92" s="17"/>
      <c r="K92" s="16" t="s">
        <v>292</v>
      </c>
      <c r="L92" s="16" t="s">
        <v>111</v>
      </c>
      <c r="M92" s="19" t="s">
        <v>210</v>
      </c>
      <c r="N92" s="19" t="s">
        <v>293</v>
      </c>
      <c r="O92" s="16" t="s">
        <v>40</v>
      </c>
      <c r="P92" s="16">
        <v>8.0</v>
      </c>
      <c r="Q92" s="26"/>
      <c r="R92" s="26"/>
      <c r="S92" s="26"/>
      <c r="T92" s="22"/>
      <c r="U92" s="22"/>
      <c r="V92" s="22"/>
      <c r="W92" s="22"/>
      <c r="X92" s="22"/>
      <c r="Y92" s="22"/>
      <c r="Z92" s="22"/>
    </row>
    <row r="93" ht="15.75" customHeight="1">
      <c r="A93" s="15">
        <v>45036.93658459491</v>
      </c>
      <c r="B93" s="16" t="s">
        <v>294</v>
      </c>
      <c r="C93" s="16" t="s">
        <v>176</v>
      </c>
      <c r="D93" s="16" t="s">
        <v>38</v>
      </c>
      <c r="E93" s="16" t="s">
        <v>59</v>
      </c>
      <c r="F93" s="16">
        <v>1.0</v>
      </c>
      <c r="G93" s="16">
        <v>20.0</v>
      </c>
      <c r="H93" s="16" t="s">
        <v>29</v>
      </c>
      <c r="I93" s="16" t="s">
        <v>40</v>
      </c>
      <c r="J93" s="17"/>
      <c r="K93" s="16" t="s">
        <v>295</v>
      </c>
      <c r="L93" s="16" t="s">
        <v>296</v>
      </c>
      <c r="M93" s="25" t="s">
        <v>297</v>
      </c>
      <c r="N93" s="17"/>
      <c r="O93" s="16" t="s">
        <v>40</v>
      </c>
      <c r="P93" s="16">
        <v>16.0</v>
      </c>
      <c r="Q93" s="26"/>
      <c r="R93" s="26"/>
      <c r="S93" s="26"/>
      <c r="T93" s="22"/>
      <c r="U93" s="22"/>
      <c r="V93" s="22"/>
      <c r="W93" s="22"/>
      <c r="X93" s="22"/>
      <c r="Y93" s="22"/>
      <c r="Z93" s="22"/>
    </row>
    <row r="94" ht="15.75" customHeight="1">
      <c r="A94" s="15">
        <v>45042.86693458333</v>
      </c>
      <c r="B94" s="16" t="s">
        <v>298</v>
      </c>
      <c r="C94" s="16" t="s">
        <v>291</v>
      </c>
      <c r="D94" s="16" t="s">
        <v>38</v>
      </c>
      <c r="E94" s="16" t="s">
        <v>299</v>
      </c>
      <c r="F94" s="16">
        <v>2.0</v>
      </c>
      <c r="G94" s="16">
        <v>8.0</v>
      </c>
      <c r="H94" s="16" t="s">
        <v>29</v>
      </c>
      <c r="I94" s="16" t="s">
        <v>40</v>
      </c>
      <c r="J94" s="17"/>
      <c r="K94" s="16" t="s">
        <v>300</v>
      </c>
      <c r="L94" s="16" t="s">
        <v>296</v>
      </c>
      <c r="M94" s="25" t="s">
        <v>297</v>
      </c>
      <c r="N94" s="19" t="s">
        <v>301</v>
      </c>
      <c r="O94" s="16" t="s">
        <v>40</v>
      </c>
      <c r="P94" s="16">
        <v>4.0</v>
      </c>
      <c r="Q94" s="26"/>
      <c r="R94" s="26"/>
      <c r="S94" s="26"/>
      <c r="T94" s="22"/>
      <c r="U94" s="22"/>
      <c r="V94" s="22"/>
      <c r="W94" s="22"/>
      <c r="X94" s="22"/>
      <c r="Y94" s="22"/>
      <c r="Z94" s="22"/>
    </row>
    <row r="95" ht="15.75" customHeight="1">
      <c r="A95" s="15">
        <v>45043.789719594904</v>
      </c>
      <c r="B95" s="16" t="s">
        <v>302</v>
      </c>
      <c r="C95" s="16" t="s">
        <v>291</v>
      </c>
      <c r="D95" s="16" t="s">
        <v>38</v>
      </c>
      <c r="E95" s="16" t="s">
        <v>303</v>
      </c>
      <c r="F95" s="16">
        <v>2.0</v>
      </c>
      <c r="G95" s="16">
        <v>32.0</v>
      </c>
      <c r="H95" s="16" t="s">
        <v>29</v>
      </c>
      <c r="I95" s="16" t="s">
        <v>40</v>
      </c>
      <c r="J95" s="19" t="s">
        <v>304</v>
      </c>
      <c r="K95" s="22"/>
      <c r="L95" s="16" t="s">
        <v>111</v>
      </c>
      <c r="M95" s="17"/>
      <c r="N95" s="19" t="s">
        <v>305</v>
      </c>
      <c r="O95" s="16" t="s">
        <v>40</v>
      </c>
      <c r="P95" s="16">
        <v>16.0</v>
      </c>
      <c r="Q95" s="26"/>
      <c r="R95" s="26"/>
      <c r="S95" s="26"/>
      <c r="T95" s="22"/>
      <c r="U95" s="22"/>
      <c r="V95" s="22"/>
      <c r="W95" s="22"/>
      <c r="X95" s="22"/>
      <c r="Y95" s="22"/>
      <c r="Z95" s="22"/>
    </row>
    <row r="96" ht="15.75" customHeight="1">
      <c r="A96" s="15">
        <v>45043.95642165509</v>
      </c>
      <c r="B96" s="16" t="s">
        <v>2</v>
      </c>
      <c r="C96" s="16" t="s">
        <v>291</v>
      </c>
      <c r="D96" s="16" t="s">
        <v>38</v>
      </c>
      <c r="E96" s="16" t="s">
        <v>306</v>
      </c>
      <c r="F96" s="16">
        <v>2.0</v>
      </c>
      <c r="G96" s="16">
        <v>32.0</v>
      </c>
      <c r="H96" s="16" t="s">
        <v>29</v>
      </c>
      <c r="I96" s="16" t="s">
        <v>29</v>
      </c>
      <c r="J96" s="17"/>
      <c r="K96" s="16" t="s">
        <v>307</v>
      </c>
      <c r="L96" s="16" t="s">
        <v>308</v>
      </c>
      <c r="M96" s="25" t="s">
        <v>309</v>
      </c>
      <c r="N96" s="17"/>
      <c r="O96" s="16" t="s">
        <v>40</v>
      </c>
      <c r="P96" s="16">
        <v>16.0</v>
      </c>
      <c r="Q96" s="26"/>
      <c r="R96" s="26"/>
      <c r="S96" s="26"/>
      <c r="T96" s="22"/>
      <c r="U96" s="22"/>
      <c r="V96" s="22"/>
      <c r="W96" s="22"/>
      <c r="X96" s="22"/>
      <c r="Y96" s="22"/>
      <c r="Z96" s="22"/>
    </row>
    <row r="97" ht="15.75" customHeight="1">
      <c r="A97" s="15">
        <v>45046.402716516204</v>
      </c>
      <c r="B97" s="16" t="s">
        <v>2</v>
      </c>
      <c r="C97" s="16" t="s">
        <v>291</v>
      </c>
      <c r="D97" s="16" t="s">
        <v>27</v>
      </c>
      <c r="E97" s="16" t="s">
        <v>28</v>
      </c>
      <c r="F97" s="16">
        <v>2.0</v>
      </c>
      <c r="G97" s="16">
        <v>32.0</v>
      </c>
      <c r="H97" s="16" t="s">
        <v>29</v>
      </c>
      <c r="I97" s="16" t="s">
        <v>29</v>
      </c>
      <c r="J97" s="19" t="s">
        <v>310</v>
      </c>
      <c r="K97" s="16" t="s">
        <v>311</v>
      </c>
      <c r="L97" s="22"/>
      <c r="M97" s="17"/>
      <c r="N97" s="17"/>
      <c r="O97" s="16" t="s">
        <v>126</v>
      </c>
      <c r="P97" s="16">
        <v>16.0</v>
      </c>
      <c r="Q97" s="26"/>
      <c r="R97" s="26"/>
      <c r="S97" s="26"/>
      <c r="T97" s="22"/>
      <c r="U97" s="22"/>
      <c r="V97" s="22"/>
      <c r="W97" s="22"/>
      <c r="X97" s="22"/>
      <c r="Y97" s="22"/>
      <c r="Z97" s="22"/>
    </row>
    <row r="98" ht="15.75" customHeight="1">
      <c r="A98" s="15">
        <v>45048.69865313657</v>
      </c>
      <c r="B98" s="16" t="s">
        <v>312</v>
      </c>
      <c r="C98" s="16" t="s">
        <v>313</v>
      </c>
      <c r="D98" s="16" t="s">
        <v>47</v>
      </c>
      <c r="E98" s="16" t="s">
        <v>314</v>
      </c>
      <c r="F98" s="16">
        <v>2.0</v>
      </c>
      <c r="G98" s="16">
        <v>32.0</v>
      </c>
      <c r="H98" s="16" t="s">
        <v>40</v>
      </c>
      <c r="I98" s="16" t="s">
        <v>40</v>
      </c>
      <c r="J98" s="19" t="s">
        <v>315</v>
      </c>
      <c r="K98" s="16" t="s">
        <v>316</v>
      </c>
      <c r="L98" s="16" t="s">
        <v>111</v>
      </c>
      <c r="M98" s="19" t="s">
        <v>210</v>
      </c>
      <c r="N98" s="19" t="s">
        <v>317</v>
      </c>
      <c r="O98" s="16" t="s">
        <v>29</v>
      </c>
      <c r="P98" s="16">
        <v>16.0</v>
      </c>
      <c r="Q98" s="26"/>
      <c r="R98" s="26"/>
      <c r="S98" s="26"/>
      <c r="T98" s="22"/>
      <c r="U98" s="22"/>
      <c r="V98" s="22"/>
      <c r="W98" s="22"/>
      <c r="X98" s="22"/>
      <c r="Y98" s="22"/>
      <c r="Z98" s="22"/>
    </row>
    <row r="99" ht="15.75" customHeight="1">
      <c r="A99" s="15">
        <v>45050.5085396875</v>
      </c>
      <c r="B99" s="16" t="s">
        <v>124</v>
      </c>
      <c r="C99" s="16" t="s">
        <v>291</v>
      </c>
      <c r="D99" s="16" t="s">
        <v>27</v>
      </c>
      <c r="E99" s="16" t="s">
        <v>228</v>
      </c>
      <c r="F99" s="16">
        <v>1.0</v>
      </c>
      <c r="G99" s="16">
        <v>6.0</v>
      </c>
      <c r="H99" s="16" t="s">
        <v>29</v>
      </c>
      <c r="I99" s="16" t="s">
        <v>29</v>
      </c>
      <c r="J99" s="17"/>
      <c r="K99" s="16" t="s">
        <v>318</v>
      </c>
      <c r="L99" s="16" t="s">
        <v>239</v>
      </c>
      <c r="M99" s="19" t="s">
        <v>319</v>
      </c>
      <c r="N99" s="17"/>
      <c r="O99" s="16" t="s">
        <v>40</v>
      </c>
      <c r="P99" s="16">
        <v>4.0</v>
      </c>
      <c r="Q99" s="26"/>
      <c r="R99" s="26"/>
      <c r="S99" s="26"/>
      <c r="T99" s="22"/>
      <c r="U99" s="22"/>
      <c r="V99" s="22"/>
      <c r="W99" s="22"/>
      <c r="X99" s="22"/>
      <c r="Y99" s="22"/>
      <c r="Z99" s="22"/>
    </row>
    <row r="100" ht="15.75" customHeight="1">
      <c r="A100" s="15">
        <v>45054.20368827546</v>
      </c>
      <c r="B100" s="16" t="s">
        <v>124</v>
      </c>
      <c r="C100" s="16" t="s">
        <v>51</v>
      </c>
      <c r="D100" s="16" t="s">
        <v>320</v>
      </c>
      <c r="E100" s="16" t="s">
        <v>321</v>
      </c>
      <c r="F100" s="16">
        <v>1.0</v>
      </c>
      <c r="G100" s="16">
        <v>6.0</v>
      </c>
      <c r="H100" s="16" t="s">
        <v>29</v>
      </c>
      <c r="I100" s="16" t="s">
        <v>40</v>
      </c>
      <c r="J100" s="17"/>
      <c r="K100" s="16" t="s">
        <v>322</v>
      </c>
      <c r="L100" s="16" t="s">
        <v>111</v>
      </c>
      <c r="M100" s="25" t="s">
        <v>50</v>
      </c>
      <c r="N100" s="17"/>
      <c r="O100" s="16" t="s">
        <v>126</v>
      </c>
      <c r="P100" s="16">
        <v>4.0</v>
      </c>
      <c r="Q100" s="26"/>
      <c r="R100" s="26"/>
      <c r="S100" s="26"/>
      <c r="T100" s="22"/>
      <c r="U100" s="22"/>
      <c r="V100" s="22"/>
      <c r="W100" s="22"/>
      <c r="X100" s="22"/>
      <c r="Y100" s="22"/>
      <c r="Z100" s="22"/>
    </row>
    <row r="101" ht="15.75" customHeight="1">
      <c r="A101" s="15">
        <v>45055.73692491898</v>
      </c>
      <c r="B101" s="16" t="s">
        <v>118</v>
      </c>
      <c r="C101" s="16" t="s">
        <v>291</v>
      </c>
      <c r="D101" s="16" t="s">
        <v>119</v>
      </c>
      <c r="E101" s="16" t="s">
        <v>120</v>
      </c>
      <c r="F101" s="16">
        <v>1.0</v>
      </c>
      <c r="G101" s="16">
        <v>10.0</v>
      </c>
      <c r="H101" s="16" t="s">
        <v>29</v>
      </c>
      <c r="I101" s="16" t="s">
        <v>40</v>
      </c>
      <c r="J101" s="17"/>
      <c r="K101" s="16" t="s">
        <v>323</v>
      </c>
      <c r="L101" s="16" t="s">
        <v>111</v>
      </c>
      <c r="M101" s="19" t="s">
        <v>260</v>
      </c>
      <c r="N101" s="17"/>
      <c r="O101" s="16" t="s">
        <v>40</v>
      </c>
      <c r="P101" s="16">
        <v>8.0</v>
      </c>
      <c r="Q101" s="26"/>
      <c r="R101" s="26"/>
      <c r="S101" s="26"/>
      <c r="T101" s="22"/>
      <c r="U101" s="22"/>
      <c r="V101" s="22"/>
      <c r="W101" s="22"/>
      <c r="X101" s="22"/>
      <c r="Y101" s="22"/>
      <c r="Z101" s="22"/>
    </row>
    <row r="102" ht="15.75" customHeight="1">
      <c r="A102" s="15">
        <v>45059.35427059028</v>
      </c>
      <c r="B102" s="16" t="s">
        <v>138</v>
      </c>
      <c r="C102" s="16" t="s">
        <v>176</v>
      </c>
      <c r="D102" s="16" t="s">
        <v>27</v>
      </c>
      <c r="E102" s="16" t="s">
        <v>28</v>
      </c>
      <c r="F102" s="16">
        <v>1.0</v>
      </c>
      <c r="G102" s="16">
        <v>18.0</v>
      </c>
      <c r="H102" s="16" t="s">
        <v>29</v>
      </c>
      <c r="I102" s="16" t="s">
        <v>29</v>
      </c>
      <c r="J102" s="17"/>
      <c r="K102" s="16" t="s">
        <v>324</v>
      </c>
      <c r="L102" s="16" t="s">
        <v>103</v>
      </c>
      <c r="M102" s="25" t="s">
        <v>122</v>
      </c>
      <c r="N102" s="17"/>
      <c r="O102" s="16" t="s">
        <v>29</v>
      </c>
      <c r="P102" s="16">
        <v>16.0</v>
      </c>
      <c r="Q102" s="26"/>
      <c r="R102" s="26"/>
      <c r="S102" s="26"/>
      <c r="T102" s="22"/>
      <c r="U102" s="22"/>
      <c r="V102" s="22"/>
      <c r="W102" s="22"/>
      <c r="X102" s="22"/>
      <c r="Y102" s="22"/>
      <c r="Z102" s="22"/>
    </row>
    <row r="103" ht="15.75" customHeight="1">
      <c r="A103" s="15">
        <v>45060.84277229167</v>
      </c>
      <c r="B103" s="16" t="s">
        <v>118</v>
      </c>
      <c r="C103" s="22"/>
      <c r="D103" s="16" t="s">
        <v>27</v>
      </c>
      <c r="E103" s="16" t="s">
        <v>231</v>
      </c>
      <c r="F103" s="16">
        <v>1.0</v>
      </c>
      <c r="G103" s="16">
        <v>12.0</v>
      </c>
      <c r="H103" s="16" t="s">
        <v>40</v>
      </c>
      <c r="I103" s="22"/>
      <c r="J103" s="17"/>
      <c r="K103" s="22"/>
      <c r="L103" s="22"/>
      <c r="M103" s="17"/>
      <c r="N103" s="17"/>
      <c r="O103" s="16" t="s">
        <v>40</v>
      </c>
      <c r="P103" s="16">
        <v>8.0</v>
      </c>
      <c r="Q103" s="26"/>
      <c r="R103" s="26"/>
      <c r="S103" s="26"/>
      <c r="T103" s="22"/>
      <c r="U103" s="22"/>
      <c r="V103" s="22"/>
      <c r="W103" s="22"/>
      <c r="X103" s="22"/>
      <c r="Y103" s="22"/>
      <c r="Z103" s="22"/>
    </row>
    <row r="104" ht="15.75" customHeight="1">
      <c r="A104" s="15">
        <v>45061.553149803236</v>
      </c>
      <c r="B104" s="16" t="s">
        <v>99</v>
      </c>
      <c r="C104" s="16" t="s">
        <v>291</v>
      </c>
      <c r="D104" s="16" t="s">
        <v>27</v>
      </c>
      <c r="E104" s="16" t="s">
        <v>325</v>
      </c>
      <c r="F104" s="16">
        <v>2.0</v>
      </c>
      <c r="G104" s="16">
        <v>32.0</v>
      </c>
      <c r="H104" s="16" t="s">
        <v>29</v>
      </c>
      <c r="I104" s="16" t="s">
        <v>40</v>
      </c>
      <c r="J104" s="17"/>
      <c r="K104" s="16" t="s">
        <v>326</v>
      </c>
      <c r="L104" s="16" t="s">
        <v>327</v>
      </c>
      <c r="M104" s="17"/>
      <c r="N104" s="19" t="s">
        <v>328</v>
      </c>
      <c r="O104" s="16" t="s">
        <v>29</v>
      </c>
      <c r="P104" s="16">
        <v>16.0</v>
      </c>
      <c r="Q104" s="26"/>
      <c r="R104" s="26"/>
      <c r="S104" s="26"/>
      <c r="T104" s="22"/>
      <c r="U104" s="22"/>
      <c r="V104" s="22"/>
      <c r="W104" s="22"/>
      <c r="X104" s="22"/>
      <c r="Y104" s="22"/>
      <c r="Z104" s="22"/>
    </row>
    <row r="105" ht="15.75" customHeight="1">
      <c r="A105" s="15">
        <v>45063.89858828703</v>
      </c>
      <c r="B105" s="16" t="s">
        <v>288</v>
      </c>
      <c r="C105" s="16" t="s">
        <v>291</v>
      </c>
      <c r="D105" s="16" t="s">
        <v>27</v>
      </c>
      <c r="E105" s="16" t="s">
        <v>329</v>
      </c>
      <c r="F105" s="16">
        <v>1.0</v>
      </c>
      <c r="G105" s="16">
        <v>10.0</v>
      </c>
      <c r="H105" s="16" t="s">
        <v>29</v>
      </c>
      <c r="I105" s="16" t="s">
        <v>29</v>
      </c>
      <c r="J105" s="17"/>
      <c r="K105" s="16" t="s">
        <v>330</v>
      </c>
      <c r="L105" s="16" t="s">
        <v>331</v>
      </c>
      <c r="M105" s="25" t="s">
        <v>332</v>
      </c>
      <c r="N105" s="17"/>
      <c r="O105" s="16" t="s">
        <v>40</v>
      </c>
      <c r="P105" s="16">
        <v>8.0</v>
      </c>
      <c r="Q105" s="26"/>
      <c r="R105" s="26"/>
      <c r="S105" s="26"/>
      <c r="T105" s="22"/>
      <c r="U105" s="22"/>
      <c r="V105" s="22"/>
      <c r="W105" s="22"/>
      <c r="X105" s="22"/>
      <c r="Y105" s="22"/>
      <c r="Z105" s="22"/>
    </row>
    <row r="106" ht="15.75" customHeight="1">
      <c r="A106" s="15">
        <v>45067.86993674768</v>
      </c>
      <c r="B106" s="16" t="s">
        <v>169</v>
      </c>
      <c r="C106" s="16" t="s">
        <v>291</v>
      </c>
      <c r="D106" s="16" t="s">
        <v>27</v>
      </c>
      <c r="E106" s="16" t="s">
        <v>28</v>
      </c>
      <c r="F106" s="16">
        <v>2.0</v>
      </c>
      <c r="G106" s="16">
        <v>16.0</v>
      </c>
      <c r="H106" s="16" t="s">
        <v>29</v>
      </c>
      <c r="I106" s="16" t="s">
        <v>29</v>
      </c>
      <c r="J106" s="19" t="s">
        <v>333</v>
      </c>
      <c r="K106" s="16" t="s">
        <v>334</v>
      </c>
      <c r="L106" s="16" t="s">
        <v>140</v>
      </c>
      <c r="M106" s="25" t="s">
        <v>335</v>
      </c>
      <c r="N106" s="19" t="s">
        <v>336</v>
      </c>
      <c r="O106" s="16" t="s">
        <v>29</v>
      </c>
      <c r="P106" s="16">
        <v>8.0</v>
      </c>
      <c r="Q106" s="26"/>
      <c r="R106" s="26"/>
      <c r="S106" s="26"/>
      <c r="T106" s="22"/>
      <c r="U106" s="22"/>
      <c r="V106" s="22"/>
      <c r="W106" s="22"/>
      <c r="X106" s="22"/>
      <c r="Y106" s="22"/>
      <c r="Z106" s="22"/>
    </row>
    <row r="107" ht="15.75" customHeight="1">
      <c r="A107" s="15">
        <v>45068.8971096875</v>
      </c>
      <c r="B107" s="16" t="s">
        <v>312</v>
      </c>
      <c r="C107" s="16" t="s">
        <v>337</v>
      </c>
      <c r="D107" s="16" t="s">
        <v>47</v>
      </c>
      <c r="E107" s="16" t="s">
        <v>338</v>
      </c>
      <c r="F107" s="16">
        <v>2.0</v>
      </c>
      <c r="G107" s="16">
        <v>32.0</v>
      </c>
      <c r="H107" s="16" t="s">
        <v>29</v>
      </c>
      <c r="I107" s="16" t="s">
        <v>40</v>
      </c>
      <c r="J107" s="19" t="s">
        <v>339</v>
      </c>
      <c r="K107" s="16" t="s">
        <v>316</v>
      </c>
      <c r="L107" s="16" t="s">
        <v>111</v>
      </c>
      <c r="M107" s="25" t="s">
        <v>50</v>
      </c>
      <c r="N107" s="19" t="s">
        <v>340</v>
      </c>
      <c r="O107" s="16" t="s">
        <v>29</v>
      </c>
      <c r="P107" s="16">
        <v>16.0</v>
      </c>
      <c r="Q107" s="26"/>
      <c r="R107" s="26"/>
      <c r="S107" s="26"/>
      <c r="T107" s="22"/>
      <c r="U107" s="22"/>
      <c r="V107" s="22"/>
      <c r="W107" s="22"/>
      <c r="X107" s="22"/>
      <c r="Y107" s="22"/>
      <c r="Z107" s="22"/>
    </row>
    <row r="108" ht="15.75" customHeight="1">
      <c r="A108" s="15">
        <v>45070.76207370371</v>
      </c>
      <c r="B108" s="16" t="s">
        <v>36</v>
      </c>
      <c r="C108" s="16" t="s">
        <v>291</v>
      </c>
      <c r="D108" s="16" t="s">
        <v>27</v>
      </c>
      <c r="E108" s="16" t="s">
        <v>28</v>
      </c>
      <c r="F108" s="16">
        <v>1.0</v>
      </c>
      <c r="G108" s="16">
        <v>20.0</v>
      </c>
      <c r="H108" s="16" t="s">
        <v>29</v>
      </c>
      <c r="I108" s="16" t="s">
        <v>29</v>
      </c>
      <c r="J108" s="17"/>
      <c r="K108" s="22"/>
      <c r="L108" s="16" t="s">
        <v>136</v>
      </c>
      <c r="M108" s="19" t="s">
        <v>210</v>
      </c>
      <c r="N108" s="17"/>
      <c r="O108" s="16" t="s">
        <v>40</v>
      </c>
      <c r="P108" s="16">
        <v>16.0</v>
      </c>
      <c r="Q108" s="26"/>
      <c r="R108" s="26"/>
      <c r="S108" s="26"/>
      <c r="T108" s="22"/>
      <c r="U108" s="22"/>
      <c r="V108" s="22"/>
      <c r="W108" s="22"/>
      <c r="X108" s="22"/>
      <c r="Y108" s="22"/>
      <c r="Z108" s="22"/>
    </row>
    <row r="109" ht="15.75" customHeight="1">
      <c r="A109" s="15">
        <v>45076.76940935185</v>
      </c>
      <c r="B109" s="16" t="s">
        <v>2</v>
      </c>
      <c r="C109" s="16" t="s">
        <v>337</v>
      </c>
      <c r="D109" s="16" t="s">
        <v>47</v>
      </c>
      <c r="E109" s="16" t="s">
        <v>165</v>
      </c>
      <c r="F109" s="16">
        <v>2.0</v>
      </c>
      <c r="G109" s="16">
        <v>32.0</v>
      </c>
      <c r="H109" s="16" t="s">
        <v>29</v>
      </c>
      <c r="I109" s="16" t="s">
        <v>40</v>
      </c>
      <c r="J109" s="19" t="s">
        <v>341</v>
      </c>
      <c r="K109" s="16" t="s">
        <v>342</v>
      </c>
      <c r="L109" s="16" t="s">
        <v>111</v>
      </c>
      <c r="M109" s="25" t="s">
        <v>50</v>
      </c>
      <c r="N109" s="19" t="s">
        <v>343</v>
      </c>
      <c r="O109" s="16" t="s">
        <v>29</v>
      </c>
      <c r="P109" s="16">
        <v>16.0</v>
      </c>
      <c r="Q109" s="26"/>
      <c r="R109" s="26"/>
      <c r="S109" s="26"/>
      <c r="T109" s="22"/>
      <c r="U109" s="22"/>
      <c r="V109" s="22"/>
      <c r="W109" s="22"/>
      <c r="X109" s="22"/>
      <c r="Y109" s="22"/>
      <c r="Z109" s="22"/>
    </row>
    <row r="110" ht="15.75" customHeight="1">
      <c r="A110" s="15">
        <v>45079.65042684028</v>
      </c>
      <c r="B110" s="16" t="s">
        <v>36</v>
      </c>
      <c r="C110" s="16" t="s">
        <v>291</v>
      </c>
      <c r="D110" s="16" t="s">
        <v>119</v>
      </c>
      <c r="E110" s="16" t="s">
        <v>120</v>
      </c>
      <c r="F110" s="16">
        <v>1.0</v>
      </c>
      <c r="G110" s="16">
        <v>12.0</v>
      </c>
      <c r="H110" s="16" t="s">
        <v>29</v>
      </c>
      <c r="I110" s="22"/>
      <c r="J110" s="17"/>
      <c r="K110" s="16" t="s">
        <v>344</v>
      </c>
      <c r="L110" s="16" t="s">
        <v>103</v>
      </c>
      <c r="M110" s="25" t="s">
        <v>50</v>
      </c>
      <c r="N110" s="17"/>
      <c r="O110" s="16" t="s">
        <v>126</v>
      </c>
      <c r="P110" s="16">
        <v>8.0</v>
      </c>
      <c r="Q110" s="26"/>
      <c r="R110" s="26"/>
      <c r="S110" s="26"/>
      <c r="T110" s="22"/>
      <c r="U110" s="22"/>
      <c r="V110" s="22"/>
      <c r="W110" s="22"/>
      <c r="X110" s="22"/>
      <c r="Y110" s="22"/>
      <c r="Z110" s="22"/>
    </row>
    <row r="111" ht="15.75" customHeight="1">
      <c r="A111" s="15">
        <v>45083.9461831713</v>
      </c>
      <c r="B111" s="16" t="s">
        <v>118</v>
      </c>
      <c r="C111" s="16" t="s">
        <v>337</v>
      </c>
      <c r="D111" s="16" t="s">
        <v>71</v>
      </c>
      <c r="E111" s="16" t="s">
        <v>345</v>
      </c>
      <c r="F111" s="16">
        <v>1.0</v>
      </c>
      <c r="G111" s="16">
        <v>18.0</v>
      </c>
      <c r="H111" s="16" t="s">
        <v>29</v>
      </c>
      <c r="I111" s="16" t="s">
        <v>40</v>
      </c>
      <c r="J111" s="17"/>
      <c r="K111" s="16" t="s">
        <v>346</v>
      </c>
      <c r="L111" s="16" t="s">
        <v>296</v>
      </c>
      <c r="M111" s="19" t="s">
        <v>260</v>
      </c>
      <c r="N111" s="19" t="s">
        <v>347</v>
      </c>
      <c r="O111" s="16" t="s">
        <v>40</v>
      </c>
      <c r="P111" s="16">
        <v>16.0</v>
      </c>
      <c r="Q111" s="26"/>
      <c r="R111" s="26"/>
      <c r="S111" s="26"/>
      <c r="T111" s="22"/>
      <c r="U111" s="22"/>
      <c r="V111" s="22"/>
      <c r="W111" s="22"/>
      <c r="X111" s="22"/>
      <c r="Y111" s="22"/>
      <c r="Z111" s="22"/>
    </row>
    <row r="112" ht="15.75" customHeight="1">
      <c r="A112" s="15">
        <v>45086.68850695602</v>
      </c>
      <c r="B112" s="16" t="s">
        <v>124</v>
      </c>
      <c r="C112" s="16" t="s">
        <v>348</v>
      </c>
      <c r="D112" s="16" t="s">
        <v>38</v>
      </c>
      <c r="E112" s="16" t="s">
        <v>68</v>
      </c>
      <c r="F112" s="16">
        <v>1.0</v>
      </c>
      <c r="G112" s="16">
        <v>10.0</v>
      </c>
      <c r="H112" s="16" t="s">
        <v>29</v>
      </c>
      <c r="I112" s="16" t="s">
        <v>40</v>
      </c>
      <c r="J112" s="17"/>
      <c r="K112" s="22"/>
      <c r="L112" s="16" t="s">
        <v>31</v>
      </c>
      <c r="M112" s="25" t="s">
        <v>230</v>
      </c>
      <c r="N112" s="17"/>
      <c r="O112" s="16" t="s">
        <v>40</v>
      </c>
      <c r="P112" s="16">
        <v>8.0</v>
      </c>
      <c r="Q112" s="26"/>
      <c r="R112" s="26"/>
      <c r="S112" s="26"/>
      <c r="T112" s="22"/>
      <c r="U112" s="22"/>
      <c r="V112" s="22"/>
      <c r="W112" s="22"/>
      <c r="X112" s="22"/>
      <c r="Y112" s="22"/>
      <c r="Z112" s="22"/>
    </row>
    <row r="113" ht="15.75" customHeight="1">
      <c r="A113" s="33">
        <v>45088.62604491899</v>
      </c>
      <c r="B113" s="34" t="s">
        <v>124</v>
      </c>
      <c r="C113" s="34" t="s">
        <v>337</v>
      </c>
      <c r="D113" s="34" t="s">
        <v>71</v>
      </c>
      <c r="E113" s="34" t="s">
        <v>345</v>
      </c>
      <c r="F113" s="34">
        <v>1.0</v>
      </c>
      <c r="G113" s="34">
        <v>18.0</v>
      </c>
      <c r="H113" s="34" t="s">
        <v>40</v>
      </c>
      <c r="J113" s="24"/>
      <c r="K113" s="34" t="s">
        <v>349</v>
      </c>
      <c r="L113" s="34" t="s">
        <v>136</v>
      </c>
      <c r="M113" s="35" t="s">
        <v>137</v>
      </c>
      <c r="N113" s="24"/>
      <c r="O113" s="34" t="s">
        <v>40</v>
      </c>
      <c r="P113" s="34">
        <v>16.0</v>
      </c>
      <c r="Q113" s="36"/>
      <c r="R113" s="36"/>
      <c r="S113" s="36"/>
    </row>
    <row r="114" ht="15.75" customHeight="1">
      <c r="A114" s="33">
        <v>45099.149028506945</v>
      </c>
      <c r="B114" s="34" t="s">
        <v>36</v>
      </c>
      <c r="C114" s="34" t="s">
        <v>337</v>
      </c>
      <c r="D114" s="34" t="s">
        <v>86</v>
      </c>
      <c r="E114" s="34" t="s">
        <v>149</v>
      </c>
      <c r="F114" s="34">
        <v>1.0</v>
      </c>
      <c r="G114" s="34">
        <v>20.0</v>
      </c>
      <c r="H114" s="34" t="s">
        <v>29</v>
      </c>
      <c r="I114" s="34" t="s">
        <v>40</v>
      </c>
      <c r="J114" s="24"/>
      <c r="L114" s="34" t="s">
        <v>111</v>
      </c>
      <c r="M114" s="35" t="s">
        <v>116</v>
      </c>
      <c r="N114" s="24"/>
      <c r="O114" s="34" t="s">
        <v>40</v>
      </c>
      <c r="P114" s="34">
        <v>16.0</v>
      </c>
      <c r="Q114" s="36"/>
      <c r="R114" s="36"/>
      <c r="S114" s="36"/>
    </row>
    <row r="115" ht="15.75" customHeight="1">
      <c r="A115" s="33">
        <v>45100.59133949074</v>
      </c>
      <c r="B115" s="34" t="s">
        <v>124</v>
      </c>
      <c r="C115" s="34" t="s">
        <v>350</v>
      </c>
      <c r="D115" s="34" t="s">
        <v>38</v>
      </c>
      <c r="E115" s="34" t="s">
        <v>57</v>
      </c>
      <c r="F115" s="34">
        <v>1.0</v>
      </c>
      <c r="G115" s="34">
        <v>6.0</v>
      </c>
      <c r="H115" s="34" t="s">
        <v>29</v>
      </c>
      <c r="I115" s="34" t="s">
        <v>40</v>
      </c>
      <c r="J115" s="37" t="s">
        <v>351</v>
      </c>
      <c r="L115" s="34" t="s">
        <v>136</v>
      </c>
      <c r="M115" s="35" t="s">
        <v>137</v>
      </c>
      <c r="N115" s="24"/>
      <c r="O115" s="34" t="s">
        <v>40</v>
      </c>
      <c r="P115" s="34">
        <v>4.0</v>
      </c>
      <c r="Q115" s="36"/>
      <c r="R115" s="36"/>
      <c r="S115" s="36"/>
    </row>
    <row r="116" ht="15.75" customHeight="1">
      <c r="A116" s="33">
        <v>45102.41471532408</v>
      </c>
      <c r="B116" s="34" t="s">
        <v>36</v>
      </c>
      <c r="C116" s="34" t="s">
        <v>176</v>
      </c>
      <c r="D116" s="34" t="s">
        <v>38</v>
      </c>
      <c r="E116" s="34" t="s">
        <v>57</v>
      </c>
      <c r="F116" s="34">
        <v>1.0</v>
      </c>
      <c r="G116" s="34">
        <v>8.0</v>
      </c>
      <c r="H116" s="34" t="s">
        <v>29</v>
      </c>
      <c r="I116" s="34" t="s">
        <v>40</v>
      </c>
      <c r="J116" s="24"/>
      <c r="L116" s="34" t="s">
        <v>296</v>
      </c>
      <c r="M116" s="35" t="s">
        <v>297</v>
      </c>
      <c r="N116" s="24"/>
      <c r="O116" s="34" t="s">
        <v>40</v>
      </c>
      <c r="P116" s="34">
        <v>4.0</v>
      </c>
      <c r="Q116" s="36"/>
      <c r="R116" s="36"/>
      <c r="S116" s="36"/>
    </row>
    <row r="117" ht="15.75" customHeight="1">
      <c r="A117" s="33">
        <v>45103.77989696759</v>
      </c>
      <c r="B117" s="34" t="s">
        <v>124</v>
      </c>
      <c r="C117" s="34" t="s">
        <v>350</v>
      </c>
      <c r="D117" s="34" t="s">
        <v>27</v>
      </c>
      <c r="E117" s="34" t="s">
        <v>212</v>
      </c>
      <c r="F117" s="34">
        <v>1.0</v>
      </c>
      <c r="G117" s="34">
        <v>18.0</v>
      </c>
      <c r="H117" s="34" t="s">
        <v>29</v>
      </c>
      <c r="I117" s="34" t="s">
        <v>29</v>
      </c>
      <c r="J117" s="37" t="s">
        <v>352</v>
      </c>
      <c r="K117" s="34" t="s">
        <v>353</v>
      </c>
      <c r="L117" s="34" t="s">
        <v>354</v>
      </c>
      <c r="M117" s="38" t="s">
        <v>355</v>
      </c>
      <c r="N117" s="37" t="s">
        <v>356</v>
      </c>
      <c r="O117" s="34" t="s">
        <v>40</v>
      </c>
      <c r="P117" s="34">
        <v>16.0</v>
      </c>
      <c r="Q117" s="36"/>
      <c r="R117" s="36"/>
      <c r="S117" s="36"/>
    </row>
    <row r="118" ht="15.75" customHeight="1">
      <c r="A118" s="33">
        <v>45108.375506400465</v>
      </c>
      <c r="B118" s="34" t="s">
        <v>357</v>
      </c>
      <c r="C118" s="34" t="s">
        <v>350</v>
      </c>
      <c r="D118" s="34" t="s">
        <v>358</v>
      </c>
      <c r="E118" s="34" t="s">
        <v>359</v>
      </c>
      <c r="F118" s="34">
        <v>1.0</v>
      </c>
      <c r="G118" s="34">
        <v>8.0</v>
      </c>
      <c r="H118" s="34" t="s">
        <v>29</v>
      </c>
      <c r="I118" s="34" t="s">
        <v>40</v>
      </c>
      <c r="J118" s="24"/>
      <c r="K118" s="34" t="s">
        <v>360</v>
      </c>
      <c r="L118" s="34" t="s">
        <v>331</v>
      </c>
      <c r="M118" s="35" t="s">
        <v>361</v>
      </c>
      <c r="N118" s="37" t="s">
        <v>362</v>
      </c>
      <c r="O118" s="34" t="s">
        <v>40</v>
      </c>
      <c r="P118" s="34">
        <v>8.0</v>
      </c>
      <c r="Q118" s="36"/>
      <c r="R118" s="36"/>
      <c r="S118" s="36"/>
    </row>
    <row r="119" ht="15.75" customHeight="1">
      <c r="A119" s="33">
        <v>45109.57969021991</v>
      </c>
      <c r="B119" s="34" t="s">
        <v>124</v>
      </c>
      <c r="C119" s="34" t="s">
        <v>363</v>
      </c>
      <c r="D119" s="34" t="s">
        <v>38</v>
      </c>
      <c r="E119" s="34" t="s">
        <v>364</v>
      </c>
      <c r="F119" s="34">
        <v>1.0</v>
      </c>
      <c r="G119" s="34">
        <v>2.0</v>
      </c>
      <c r="H119" s="34" t="s">
        <v>29</v>
      </c>
      <c r="I119" s="34" t="s">
        <v>40</v>
      </c>
      <c r="J119" s="37" t="s">
        <v>365</v>
      </c>
      <c r="L119" s="34" t="s">
        <v>366</v>
      </c>
      <c r="M119" s="35" t="s">
        <v>367</v>
      </c>
      <c r="N119" s="24"/>
      <c r="O119" s="34" t="s">
        <v>40</v>
      </c>
      <c r="P119" s="34">
        <v>16.0</v>
      </c>
      <c r="Q119" s="36"/>
      <c r="R119" s="36"/>
      <c r="S119" s="36"/>
    </row>
    <row r="120" ht="15.75" customHeight="1">
      <c r="A120" s="33">
        <v>45111.98970003473</v>
      </c>
      <c r="B120" s="34" t="s">
        <v>45</v>
      </c>
      <c r="C120" s="34" t="s">
        <v>363</v>
      </c>
      <c r="D120" s="34" t="s">
        <v>38</v>
      </c>
      <c r="E120" s="34" t="s">
        <v>368</v>
      </c>
      <c r="F120" s="34">
        <v>2.0</v>
      </c>
      <c r="G120" s="34">
        <v>32.0</v>
      </c>
      <c r="H120" s="34" t="s">
        <v>29</v>
      </c>
      <c r="I120" s="34" t="s">
        <v>40</v>
      </c>
      <c r="J120" s="24"/>
      <c r="K120" s="34" t="s">
        <v>369</v>
      </c>
      <c r="L120" s="34" t="s">
        <v>186</v>
      </c>
      <c r="M120" s="37" t="s">
        <v>260</v>
      </c>
      <c r="N120" s="24"/>
      <c r="O120" s="34" t="s">
        <v>40</v>
      </c>
      <c r="P120" s="34">
        <v>16.0</v>
      </c>
      <c r="Q120" s="36"/>
      <c r="R120" s="36"/>
      <c r="S120" s="36"/>
    </row>
    <row r="121" ht="15.75" customHeight="1">
      <c r="A121" s="33">
        <v>45112.234766134265</v>
      </c>
      <c r="B121" s="34" t="s">
        <v>42</v>
      </c>
      <c r="C121" s="34" t="s">
        <v>363</v>
      </c>
      <c r="D121" s="34" t="s">
        <v>370</v>
      </c>
      <c r="E121" s="34" t="s">
        <v>371</v>
      </c>
      <c r="F121" s="34">
        <v>2.0</v>
      </c>
      <c r="G121" s="34">
        <v>36.0</v>
      </c>
      <c r="H121" s="34" t="s">
        <v>29</v>
      </c>
      <c r="I121" s="34" t="s">
        <v>40</v>
      </c>
      <c r="J121" s="24"/>
      <c r="L121" s="34" t="s">
        <v>372</v>
      </c>
      <c r="M121" s="37" t="s">
        <v>373</v>
      </c>
      <c r="N121" s="37" t="s">
        <v>374</v>
      </c>
      <c r="O121" s="34" t="s">
        <v>29</v>
      </c>
      <c r="P121" s="34">
        <v>32.0</v>
      </c>
      <c r="Q121" s="36"/>
      <c r="R121" s="36"/>
      <c r="S121" s="36"/>
    </row>
    <row r="122" ht="15.75" customHeight="1">
      <c r="A122" s="33">
        <v>45112.23621407407</v>
      </c>
      <c r="B122" s="34" t="s">
        <v>2</v>
      </c>
      <c r="C122" s="34" t="s">
        <v>363</v>
      </c>
      <c r="D122" s="34" t="s">
        <v>370</v>
      </c>
      <c r="E122" s="34" t="s">
        <v>371</v>
      </c>
      <c r="F122" s="34">
        <v>2.0</v>
      </c>
      <c r="G122" s="34">
        <v>36.0</v>
      </c>
      <c r="H122" s="34" t="s">
        <v>29</v>
      </c>
      <c r="I122" s="34" t="s">
        <v>40</v>
      </c>
      <c r="J122" s="24"/>
      <c r="L122" s="34" t="s">
        <v>372</v>
      </c>
      <c r="M122" s="37" t="s">
        <v>373</v>
      </c>
      <c r="N122" s="37" t="s">
        <v>375</v>
      </c>
      <c r="O122" s="34" t="s">
        <v>29</v>
      </c>
      <c r="P122" s="34">
        <v>32.0</v>
      </c>
      <c r="Q122" s="36"/>
      <c r="R122" s="36"/>
      <c r="S122" s="36"/>
    </row>
    <row r="123" ht="15.75" customHeight="1">
      <c r="A123" s="33">
        <v>45112.23738413195</v>
      </c>
      <c r="B123" s="34" t="s">
        <v>95</v>
      </c>
      <c r="C123" s="34" t="s">
        <v>363</v>
      </c>
      <c r="D123" s="34" t="s">
        <v>370</v>
      </c>
      <c r="E123" s="34" t="s">
        <v>371</v>
      </c>
      <c r="F123" s="34">
        <v>2.0</v>
      </c>
      <c r="G123" s="34">
        <v>36.0</v>
      </c>
      <c r="H123" s="34" t="s">
        <v>29</v>
      </c>
      <c r="I123" s="34" t="s">
        <v>40</v>
      </c>
      <c r="J123" s="24"/>
      <c r="L123" s="34" t="s">
        <v>372</v>
      </c>
      <c r="M123" s="37" t="s">
        <v>373</v>
      </c>
      <c r="N123" s="37" t="s">
        <v>376</v>
      </c>
      <c r="O123" s="34" t="s">
        <v>29</v>
      </c>
      <c r="P123" s="34">
        <v>32.0</v>
      </c>
      <c r="Q123" s="36"/>
      <c r="R123" s="36"/>
      <c r="S123" s="36"/>
    </row>
    <row r="124" ht="15.75" customHeight="1">
      <c r="A124" s="33">
        <v>45112.39837145833</v>
      </c>
      <c r="B124" s="34" t="s">
        <v>377</v>
      </c>
      <c r="C124" s="34" t="s">
        <v>363</v>
      </c>
      <c r="D124" s="34" t="s">
        <v>370</v>
      </c>
      <c r="E124" s="34" t="s">
        <v>378</v>
      </c>
      <c r="F124" s="34">
        <v>4.0</v>
      </c>
      <c r="G124" s="34">
        <v>72.0</v>
      </c>
      <c r="H124" s="34" t="s">
        <v>29</v>
      </c>
      <c r="I124" s="34" t="s">
        <v>40</v>
      </c>
      <c r="J124" s="37" t="s">
        <v>379</v>
      </c>
      <c r="L124" s="34" t="s">
        <v>372</v>
      </c>
      <c r="M124" s="37" t="s">
        <v>373</v>
      </c>
      <c r="N124" s="37" t="s">
        <v>380</v>
      </c>
      <c r="O124" s="34" t="s">
        <v>29</v>
      </c>
      <c r="P124" s="34">
        <v>32.0</v>
      </c>
      <c r="Q124" s="36"/>
      <c r="R124" s="36"/>
      <c r="S124" s="36"/>
    </row>
    <row r="125" ht="15.75" customHeight="1">
      <c r="A125" s="33">
        <v>45112.877609930554</v>
      </c>
      <c r="B125" s="34" t="s">
        <v>288</v>
      </c>
      <c r="C125" s="34" t="s">
        <v>363</v>
      </c>
      <c r="D125" s="34" t="s">
        <v>38</v>
      </c>
      <c r="E125" s="34" t="s">
        <v>177</v>
      </c>
      <c r="F125" s="34">
        <v>1.0</v>
      </c>
      <c r="G125" s="34">
        <v>10.0</v>
      </c>
      <c r="H125" s="34" t="s">
        <v>29</v>
      </c>
      <c r="I125" s="34" t="s">
        <v>40</v>
      </c>
      <c r="J125" s="24"/>
      <c r="K125" s="34" t="s">
        <v>381</v>
      </c>
      <c r="L125" s="34" t="s">
        <v>219</v>
      </c>
      <c r="M125" s="35" t="s">
        <v>382</v>
      </c>
      <c r="N125" s="24"/>
      <c r="O125" s="34" t="s">
        <v>40</v>
      </c>
      <c r="P125" s="34">
        <v>8.0</v>
      </c>
      <c r="Q125" s="36"/>
      <c r="R125" s="36"/>
      <c r="S125" s="36"/>
    </row>
    <row r="126" ht="15.75" customHeight="1">
      <c r="A126" s="33">
        <v>45127.99849175926</v>
      </c>
      <c r="B126" s="34" t="s">
        <v>2</v>
      </c>
      <c r="D126" s="34" t="s">
        <v>27</v>
      </c>
      <c r="E126" s="34" t="s">
        <v>144</v>
      </c>
      <c r="F126" s="34">
        <v>2.0</v>
      </c>
      <c r="G126" s="34">
        <v>12.0</v>
      </c>
      <c r="H126" s="34" t="s">
        <v>29</v>
      </c>
      <c r="I126" s="34" t="s">
        <v>29</v>
      </c>
      <c r="J126" s="24"/>
      <c r="M126" s="37" t="s">
        <v>131</v>
      </c>
      <c r="N126" s="24"/>
      <c r="O126" s="34" t="s">
        <v>29</v>
      </c>
      <c r="P126" s="34">
        <v>8.0</v>
      </c>
      <c r="Q126" s="36"/>
      <c r="R126" s="36"/>
      <c r="S126" s="36"/>
    </row>
    <row r="127" ht="15.75" customHeight="1">
      <c r="A127" s="33">
        <v>45128.817902407405</v>
      </c>
      <c r="B127" s="34" t="s">
        <v>383</v>
      </c>
      <c r="C127" s="34" t="s">
        <v>291</v>
      </c>
      <c r="D127" s="34" t="s">
        <v>38</v>
      </c>
      <c r="E127" s="34" t="s">
        <v>384</v>
      </c>
      <c r="F127" s="34">
        <v>2.0</v>
      </c>
      <c r="G127" s="34">
        <v>16.0</v>
      </c>
      <c r="H127" s="34" t="s">
        <v>29</v>
      </c>
      <c r="I127" s="34" t="s">
        <v>40</v>
      </c>
      <c r="J127" s="37" t="s">
        <v>385</v>
      </c>
      <c r="K127" s="34" t="s">
        <v>386</v>
      </c>
      <c r="L127" s="34" t="s">
        <v>111</v>
      </c>
      <c r="M127" s="35" t="s">
        <v>50</v>
      </c>
      <c r="N127" s="37" t="s">
        <v>387</v>
      </c>
      <c r="O127" s="34" t="s">
        <v>40</v>
      </c>
      <c r="P127" s="34">
        <v>8.0</v>
      </c>
      <c r="Q127" s="36"/>
      <c r="R127" s="36"/>
      <c r="S127" s="36"/>
    </row>
    <row r="128" ht="15.75" customHeight="1">
      <c r="A128" s="33">
        <v>45129.613550925926</v>
      </c>
      <c r="B128" s="34" t="s">
        <v>2</v>
      </c>
      <c r="C128" s="34" t="s">
        <v>363</v>
      </c>
      <c r="D128" s="34" t="s">
        <v>47</v>
      </c>
      <c r="E128" s="34" t="s">
        <v>165</v>
      </c>
      <c r="F128" s="34">
        <v>2.0</v>
      </c>
      <c r="G128" s="34">
        <v>32.0</v>
      </c>
      <c r="H128" s="34" t="s">
        <v>29</v>
      </c>
      <c r="I128" s="34" t="s">
        <v>40</v>
      </c>
      <c r="J128" s="24"/>
      <c r="K128" s="34" t="s">
        <v>388</v>
      </c>
      <c r="L128" s="34" t="s">
        <v>111</v>
      </c>
      <c r="M128" s="35" t="s">
        <v>137</v>
      </c>
      <c r="N128" s="24"/>
      <c r="O128" s="34" t="s">
        <v>29</v>
      </c>
      <c r="P128" s="34">
        <v>16.0</v>
      </c>
      <c r="Q128" s="36"/>
      <c r="R128" s="36"/>
      <c r="S128" s="36"/>
    </row>
    <row r="129" ht="15.75" customHeight="1">
      <c r="A129" s="33">
        <v>45129.98413927083</v>
      </c>
      <c r="B129" s="34" t="s">
        <v>2</v>
      </c>
      <c r="C129" s="34" t="s">
        <v>363</v>
      </c>
      <c r="D129" s="34" t="s">
        <v>38</v>
      </c>
      <c r="E129" s="34" t="s">
        <v>389</v>
      </c>
      <c r="F129" s="34">
        <v>2.0</v>
      </c>
      <c r="G129" s="34">
        <v>32.0</v>
      </c>
      <c r="H129" s="34" t="s">
        <v>29</v>
      </c>
      <c r="I129" s="34" t="s">
        <v>40</v>
      </c>
      <c r="J129" s="24"/>
      <c r="K129" s="34" t="s">
        <v>390</v>
      </c>
      <c r="L129" s="34" t="s">
        <v>111</v>
      </c>
      <c r="M129" s="35" t="s">
        <v>50</v>
      </c>
      <c r="N129" s="24"/>
      <c r="O129" s="34" t="s">
        <v>40</v>
      </c>
      <c r="P129" s="34">
        <v>16.0</v>
      </c>
      <c r="Q129" s="36"/>
      <c r="R129" s="36"/>
      <c r="S129" s="36"/>
    </row>
    <row r="130" ht="15.75" customHeight="1">
      <c r="A130" s="33">
        <v>45130.67222046296</v>
      </c>
      <c r="B130" s="34" t="s">
        <v>45</v>
      </c>
      <c r="C130" s="34" t="s">
        <v>391</v>
      </c>
      <c r="D130" s="34" t="s">
        <v>38</v>
      </c>
      <c r="E130" s="34" t="s">
        <v>392</v>
      </c>
      <c r="F130" s="34">
        <v>2.0</v>
      </c>
      <c r="G130" s="34">
        <v>64.0</v>
      </c>
      <c r="H130" s="34" t="s">
        <v>29</v>
      </c>
      <c r="I130" s="34" t="s">
        <v>40</v>
      </c>
      <c r="J130" s="37" t="s">
        <v>393</v>
      </c>
      <c r="K130" s="34" t="s">
        <v>394</v>
      </c>
      <c r="L130" s="34" t="s">
        <v>93</v>
      </c>
      <c r="M130" s="35" t="s">
        <v>50</v>
      </c>
      <c r="N130" s="24"/>
      <c r="O130" s="34" t="s">
        <v>40</v>
      </c>
      <c r="P130" s="34">
        <v>32.0</v>
      </c>
      <c r="Q130" s="36"/>
      <c r="R130" s="36"/>
      <c r="S130" s="36"/>
    </row>
    <row r="131" ht="15.75" customHeight="1">
      <c r="A131" s="33">
        <v>45130.980082372684</v>
      </c>
      <c r="B131" s="34" t="s">
        <v>2</v>
      </c>
      <c r="C131" s="34" t="s">
        <v>363</v>
      </c>
      <c r="D131" s="34" t="s">
        <v>38</v>
      </c>
      <c r="E131" s="34" t="s">
        <v>389</v>
      </c>
      <c r="F131" s="34">
        <v>2.0</v>
      </c>
      <c r="G131" s="34">
        <v>4.0</v>
      </c>
      <c r="H131" s="34" t="s">
        <v>29</v>
      </c>
      <c r="I131" s="34" t="s">
        <v>40</v>
      </c>
      <c r="J131" s="24"/>
      <c r="K131" s="34" t="s">
        <v>395</v>
      </c>
      <c r="L131" s="34" t="s">
        <v>111</v>
      </c>
      <c r="M131" s="35" t="s">
        <v>50</v>
      </c>
      <c r="N131" s="24"/>
      <c r="O131" s="34" t="s">
        <v>40</v>
      </c>
      <c r="P131" s="34">
        <v>32.0</v>
      </c>
      <c r="Q131" s="36"/>
      <c r="R131" s="36"/>
      <c r="S131" s="36"/>
    </row>
    <row r="132" ht="15.75" customHeight="1">
      <c r="A132" s="33">
        <v>45131.565659155094</v>
      </c>
      <c r="B132" s="34" t="s">
        <v>45</v>
      </c>
      <c r="C132" s="34" t="s">
        <v>363</v>
      </c>
      <c r="D132" s="34" t="s">
        <v>38</v>
      </c>
      <c r="E132" s="34" t="s">
        <v>368</v>
      </c>
      <c r="F132" s="34">
        <v>1.0</v>
      </c>
      <c r="G132" s="34">
        <v>20.0</v>
      </c>
      <c r="H132" s="34" t="s">
        <v>29</v>
      </c>
      <c r="I132" s="34" t="s">
        <v>40</v>
      </c>
      <c r="J132" s="24"/>
      <c r="L132" s="34" t="s">
        <v>111</v>
      </c>
      <c r="M132" s="35" t="s">
        <v>50</v>
      </c>
      <c r="N132" s="24"/>
      <c r="O132" s="34" t="s">
        <v>40</v>
      </c>
      <c r="P132" s="34">
        <v>16.0</v>
      </c>
      <c r="Q132" s="36"/>
      <c r="R132" s="36"/>
      <c r="S132" s="36"/>
    </row>
    <row r="133" ht="15.75" customHeight="1">
      <c r="A133" s="33">
        <v>45132.05560519676</v>
      </c>
      <c r="B133" s="34" t="s">
        <v>288</v>
      </c>
      <c r="C133" s="34" t="s">
        <v>363</v>
      </c>
      <c r="D133" s="34" t="s">
        <v>71</v>
      </c>
      <c r="E133" s="34" t="s">
        <v>396</v>
      </c>
      <c r="F133" s="34">
        <v>1.0</v>
      </c>
      <c r="G133" s="34">
        <v>18.0</v>
      </c>
      <c r="H133" s="34" t="s">
        <v>29</v>
      </c>
      <c r="I133" s="34" t="s">
        <v>40</v>
      </c>
      <c r="J133" s="37" t="s">
        <v>397</v>
      </c>
      <c r="K133" s="34" t="s">
        <v>398</v>
      </c>
      <c r="L133" s="34" t="s">
        <v>186</v>
      </c>
      <c r="M133" s="38" t="s">
        <v>399</v>
      </c>
      <c r="N133" s="24"/>
      <c r="O133" s="34" t="s">
        <v>40</v>
      </c>
      <c r="P133" s="34">
        <v>16.0</v>
      </c>
      <c r="Q133" s="36"/>
      <c r="R133" s="36"/>
      <c r="S133" s="36"/>
    </row>
    <row r="134" ht="15.75" customHeight="1">
      <c r="A134" s="33">
        <v>45132.699985</v>
      </c>
      <c r="B134" s="34" t="s">
        <v>288</v>
      </c>
      <c r="C134" s="34" t="s">
        <v>363</v>
      </c>
      <c r="D134" s="34" t="s">
        <v>38</v>
      </c>
      <c r="E134" s="34" t="s">
        <v>400</v>
      </c>
      <c r="F134" s="34">
        <v>1.0</v>
      </c>
      <c r="G134" s="34">
        <v>18.0</v>
      </c>
      <c r="H134" s="34" t="s">
        <v>29</v>
      </c>
      <c r="I134" s="34" t="s">
        <v>40</v>
      </c>
      <c r="J134" s="24"/>
      <c r="K134" s="34" t="s">
        <v>401</v>
      </c>
      <c r="L134" s="34" t="s">
        <v>140</v>
      </c>
      <c r="M134" s="37" t="s">
        <v>402</v>
      </c>
      <c r="N134" s="37" t="s">
        <v>403</v>
      </c>
      <c r="O134" s="34" t="s">
        <v>40</v>
      </c>
      <c r="P134" s="34">
        <v>16.0</v>
      </c>
      <c r="Q134" s="36"/>
      <c r="R134" s="36"/>
      <c r="S134" s="36"/>
    </row>
    <row r="135" ht="15.75" customHeight="1">
      <c r="A135" s="33">
        <v>45133.18071350694</v>
      </c>
      <c r="B135" s="34" t="s">
        <v>42</v>
      </c>
      <c r="C135" s="34" t="s">
        <v>46</v>
      </c>
      <c r="D135" s="34" t="s">
        <v>132</v>
      </c>
      <c r="E135" s="34" t="s">
        <v>281</v>
      </c>
      <c r="F135" s="34">
        <v>2.0</v>
      </c>
      <c r="G135" s="34">
        <v>64.0</v>
      </c>
      <c r="H135" s="34" t="s">
        <v>29</v>
      </c>
      <c r="I135" s="34" t="s">
        <v>40</v>
      </c>
      <c r="J135" s="24"/>
      <c r="L135" s="34" t="s">
        <v>186</v>
      </c>
      <c r="M135" s="38" t="s">
        <v>399</v>
      </c>
      <c r="N135" s="37" t="s">
        <v>404</v>
      </c>
      <c r="O135" s="34" t="s">
        <v>29</v>
      </c>
      <c r="P135" s="34">
        <v>32.0</v>
      </c>
      <c r="Q135" s="36"/>
      <c r="R135" s="36"/>
      <c r="S135" s="36"/>
    </row>
    <row r="136" ht="15.75" customHeight="1">
      <c r="A136" s="33">
        <v>45133.99686460648</v>
      </c>
      <c r="B136" s="34" t="s">
        <v>288</v>
      </c>
      <c r="C136" s="34" t="s">
        <v>363</v>
      </c>
      <c r="D136" s="34" t="s">
        <v>405</v>
      </c>
      <c r="E136" s="34" t="s">
        <v>406</v>
      </c>
      <c r="F136" s="34">
        <v>1.0</v>
      </c>
      <c r="G136" s="34">
        <v>10.0</v>
      </c>
      <c r="H136" s="34" t="s">
        <v>29</v>
      </c>
      <c r="I136" s="34" t="s">
        <v>40</v>
      </c>
      <c r="J136" s="24"/>
      <c r="K136" s="34" t="s">
        <v>407</v>
      </c>
      <c r="L136" s="34" t="s">
        <v>31</v>
      </c>
      <c r="M136" s="35" t="s">
        <v>230</v>
      </c>
      <c r="N136" s="37" t="s">
        <v>408</v>
      </c>
      <c r="O136" s="34" t="s">
        <v>40</v>
      </c>
      <c r="P136" s="34">
        <v>8.0</v>
      </c>
      <c r="Q136" s="36"/>
      <c r="R136" s="36"/>
      <c r="S136" s="36"/>
    </row>
    <row r="137" ht="15.75" customHeight="1">
      <c r="A137" s="33">
        <v>45138.92817608797</v>
      </c>
      <c r="B137" s="34" t="s">
        <v>288</v>
      </c>
      <c r="C137" s="34" t="s">
        <v>363</v>
      </c>
      <c r="D137" s="34" t="s">
        <v>38</v>
      </c>
      <c r="E137" s="34" t="s">
        <v>177</v>
      </c>
      <c r="F137" s="34">
        <v>1.0</v>
      </c>
      <c r="G137" s="34">
        <v>10.0</v>
      </c>
      <c r="H137" s="34" t="s">
        <v>29</v>
      </c>
      <c r="I137" s="34" t="s">
        <v>40</v>
      </c>
      <c r="J137" s="24"/>
      <c r="K137" s="34" t="s">
        <v>409</v>
      </c>
      <c r="L137" s="34" t="s">
        <v>103</v>
      </c>
      <c r="M137" s="35" t="s">
        <v>122</v>
      </c>
      <c r="N137" s="24"/>
      <c r="O137" s="34" t="s">
        <v>40</v>
      </c>
      <c r="P137" s="34">
        <v>8.0</v>
      </c>
      <c r="Q137" s="36"/>
      <c r="R137" s="36"/>
      <c r="S137" s="36"/>
    </row>
    <row r="138" ht="15.75" customHeight="1">
      <c r="A138" s="33">
        <v>45141.08355916667</v>
      </c>
      <c r="B138" s="34" t="s">
        <v>410</v>
      </c>
      <c r="C138" s="34" t="s">
        <v>363</v>
      </c>
      <c r="D138" s="16" t="s">
        <v>89</v>
      </c>
      <c r="E138" s="34" t="s">
        <v>411</v>
      </c>
      <c r="F138" s="34">
        <v>2.0</v>
      </c>
      <c r="G138" s="34">
        <v>32.0</v>
      </c>
      <c r="H138" s="34" t="s">
        <v>29</v>
      </c>
      <c r="I138" s="34" t="s">
        <v>40</v>
      </c>
      <c r="J138" s="24"/>
      <c r="L138" s="34" t="s">
        <v>111</v>
      </c>
      <c r="M138" s="35" t="s">
        <v>50</v>
      </c>
      <c r="N138" s="37" t="s">
        <v>412</v>
      </c>
      <c r="O138" s="34" t="s">
        <v>29</v>
      </c>
      <c r="P138" s="34">
        <v>16.0</v>
      </c>
      <c r="Q138" s="36"/>
      <c r="R138" s="36"/>
      <c r="S138" s="36"/>
    </row>
    <row r="139" ht="15.75" customHeight="1">
      <c r="A139" s="33">
        <v>45142.49979134259</v>
      </c>
      <c r="B139" s="34" t="s">
        <v>36</v>
      </c>
      <c r="D139" s="34" t="s">
        <v>38</v>
      </c>
      <c r="E139" s="34" t="s">
        <v>400</v>
      </c>
      <c r="F139" s="34">
        <v>1.0</v>
      </c>
      <c r="G139" s="34">
        <v>20.0</v>
      </c>
      <c r="H139" s="34" t="s">
        <v>29</v>
      </c>
      <c r="J139" s="24"/>
      <c r="K139" s="34" t="s">
        <v>413</v>
      </c>
      <c r="L139" s="34" t="s">
        <v>286</v>
      </c>
      <c r="M139" s="38" t="s">
        <v>414</v>
      </c>
      <c r="N139" s="24"/>
      <c r="O139" s="34" t="s">
        <v>40</v>
      </c>
      <c r="P139" s="34">
        <v>16.0</v>
      </c>
      <c r="Q139" s="36"/>
      <c r="R139" s="36"/>
      <c r="S139" s="36"/>
    </row>
    <row r="140" ht="15.75" customHeight="1">
      <c r="A140" s="33">
        <v>45142.51165023148</v>
      </c>
      <c r="B140" s="34" t="s">
        <v>36</v>
      </c>
      <c r="D140" s="34" t="s">
        <v>38</v>
      </c>
      <c r="E140" s="34" t="s">
        <v>39</v>
      </c>
      <c r="F140" s="34">
        <v>1.0</v>
      </c>
      <c r="G140" s="34">
        <v>20.0</v>
      </c>
      <c r="H140" s="34" t="s">
        <v>29</v>
      </c>
      <c r="J140" s="24"/>
      <c r="K140" s="34" t="s">
        <v>415</v>
      </c>
      <c r="M140" s="24"/>
      <c r="N140" s="24"/>
      <c r="O140" s="34" t="s">
        <v>40</v>
      </c>
      <c r="P140" s="34">
        <v>16.0</v>
      </c>
      <c r="Q140" s="36"/>
      <c r="R140" s="36"/>
      <c r="S140" s="36"/>
    </row>
    <row r="141" ht="15.75" customHeight="1">
      <c r="A141" s="33">
        <v>45142.52323518519</v>
      </c>
      <c r="B141" s="34" t="s">
        <v>36</v>
      </c>
      <c r="D141" s="34" t="s">
        <v>107</v>
      </c>
      <c r="E141" s="34" t="s">
        <v>416</v>
      </c>
      <c r="F141" s="34">
        <v>1.0</v>
      </c>
      <c r="G141" s="34">
        <v>20.0</v>
      </c>
      <c r="H141" s="34" t="s">
        <v>29</v>
      </c>
      <c r="I141" s="34" t="s">
        <v>40</v>
      </c>
      <c r="J141" s="24"/>
      <c r="K141" s="34" t="s">
        <v>417</v>
      </c>
      <c r="M141" s="37" t="s">
        <v>418</v>
      </c>
      <c r="N141" s="24"/>
      <c r="O141" s="34" t="s">
        <v>40</v>
      </c>
      <c r="P141" s="34">
        <v>16.0</v>
      </c>
      <c r="Q141" s="36"/>
      <c r="R141" s="36"/>
      <c r="S141" s="36"/>
    </row>
    <row r="142" ht="15.75" customHeight="1">
      <c r="A142" s="33">
        <v>45146.639330289356</v>
      </c>
      <c r="B142" s="34" t="s">
        <v>95</v>
      </c>
      <c r="C142" s="34" t="s">
        <v>419</v>
      </c>
      <c r="D142" s="34" t="s">
        <v>27</v>
      </c>
      <c r="E142" s="34" t="s">
        <v>28</v>
      </c>
      <c r="F142" s="34">
        <v>2.0</v>
      </c>
      <c r="G142" s="34">
        <v>32.0</v>
      </c>
      <c r="H142" s="34" t="s">
        <v>29</v>
      </c>
      <c r="I142" s="34" t="s">
        <v>40</v>
      </c>
      <c r="J142" s="24"/>
      <c r="L142" s="34" t="s">
        <v>420</v>
      </c>
      <c r="M142" s="35" t="s">
        <v>421</v>
      </c>
      <c r="N142" s="24"/>
      <c r="O142" s="34" t="s">
        <v>29</v>
      </c>
      <c r="P142" s="34">
        <v>16.0</v>
      </c>
      <c r="Q142" s="36"/>
      <c r="R142" s="36"/>
      <c r="S142" s="36"/>
    </row>
    <row r="143" ht="15.75" customHeight="1">
      <c r="A143" s="33">
        <v>45147.55187414352</v>
      </c>
      <c r="B143" s="34" t="s">
        <v>36</v>
      </c>
      <c r="C143" s="34" t="s">
        <v>37</v>
      </c>
      <c r="D143" s="34" t="s">
        <v>38</v>
      </c>
      <c r="E143" s="34" t="s">
        <v>422</v>
      </c>
      <c r="H143" s="34" t="s">
        <v>40</v>
      </c>
      <c r="J143" s="24"/>
      <c r="M143" s="24"/>
      <c r="N143" s="24"/>
      <c r="P143" s="34">
        <v>16.0</v>
      </c>
      <c r="Q143" s="36"/>
      <c r="R143" s="36"/>
      <c r="S143" s="36"/>
    </row>
    <row r="144" ht="15.75" customHeight="1">
      <c r="A144" s="33">
        <v>45147.812991307874</v>
      </c>
      <c r="B144" s="34" t="s">
        <v>118</v>
      </c>
      <c r="C144" s="34" t="s">
        <v>363</v>
      </c>
      <c r="D144" s="34" t="s">
        <v>71</v>
      </c>
      <c r="E144" s="34" t="s">
        <v>345</v>
      </c>
      <c r="F144" s="34">
        <v>1.0</v>
      </c>
      <c r="G144" s="34">
        <v>18.0</v>
      </c>
      <c r="H144" s="34" t="s">
        <v>29</v>
      </c>
      <c r="I144" s="34" t="s">
        <v>40</v>
      </c>
      <c r="J144" s="24"/>
      <c r="K144" s="34" t="s">
        <v>423</v>
      </c>
      <c r="L144" s="34" t="s">
        <v>136</v>
      </c>
      <c r="M144" s="35" t="s">
        <v>137</v>
      </c>
      <c r="N144" s="37" t="s">
        <v>424</v>
      </c>
      <c r="O144" s="34" t="s">
        <v>40</v>
      </c>
      <c r="P144" s="34">
        <v>16.0</v>
      </c>
      <c r="Q144" s="36"/>
      <c r="R144" s="36"/>
      <c r="S144" s="36"/>
    </row>
    <row r="145" ht="15.75" customHeight="1">
      <c r="A145" s="33">
        <v>45147.8651874537</v>
      </c>
      <c r="B145" s="34" t="s">
        <v>74</v>
      </c>
      <c r="C145" s="34" t="s">
        <v>425</v>
      </c>
      <c r="D145" s="34" t="s">
        <v>119</v>
      </c>
      <c r="E145" s="34" t="s">
        <v>426</v>
      </c>
      <c r="F145" s="34">
        <v>2.0</v>
      </c>
      <c r="G145" s="34">
        <v>8.0</v>
      </c>
      <c r="H145" s="34" t="s">
        <v>29</v>
      </c>
      <c r="I145" s="34" t="s">
        <v>40</v>
      </c>
      <c r="J145" s="37" t="s">
        <v>427</v>
      </c>
      <c r="K145" s="34" t="s">
        <v>428</v>
      </c>
      <c r="L145" s="34" t="s">
        <v>111</v>
      </c>
      <c r="M145" s="37" t="s">
        <v>429</v>
      </c>
      <c r="N145" s="24"/>
      <c r="O145" s="34" t="s">
        <v>40</v>
      </c>
      <c r="P145" s="34">
        <v>4.0</v>
      </c>
      <c r="Q145" s="36"/>
      <c r="R145" s="36"/>
      <c r="S145" s="36"/>
    </row>
    <row r="146" ht="15.75" customHeight="1">
      <c r="A146" s="33">
        <v>45148.10077045139</v>
      </c>
      <c r="B146" s="34" t="s">
        <v>42</v>
      </c>
      <c r="C146" s="34" t="s">
        <v>363</v>
      </c>
      <c r="D146" s="34" t="s">
        <v>47</v>
      </c>
      <c r="E146" s="34" t="s">
        <v>173</v>
      </c>
      <c r="F146" s="34">
        <v>2.0</v>
      </c>
      <c r="G146" s="34">
        <v>32.0</v>
      </c>
      <c r="H146" s="34" t="s">
        <v>29</v>
      </c>
      <c r="I146" s="34" t="s">
        <v>40</v>
      </c>
      <c r="J146" s="24"/>
      <c r="L146" s="34" t="s">
        <v>111</v>
      </c>
      <c r="M146" s="35" t="s">
        <v>430</v>
      </c>
      <c r="N146" s="37" t="s">
        <v>431</v>
      </c>
      <c r="O146" s="34" t="s">
        <v>29</v>
      </c>
      <c r="P146" s="34">
        <v>16.0</v>
      </c>
      <c r="Q146" s="36"/>
      <c r="R146" s="36"/>
      <c r="S146" s="36"/>
    </row>
    <row r="147" ht="15.75" customHeight="1">
      <c r="A147" s="33">
        <v>45151.33209364583</v>
      </c>
      <c r="B147" s="34" t="s">
        <v>432</v>
      </c>
      <c r="C147" s="34" t="s">
        <v>433</v>
      </c>
      <c r="D147" s="34" t="s">
        <v>101</v>
      </c>
      <c r="E147" s="34" t="s">
        <v>434</v>
      </c>
      <c r="F147" s="34">
        <v>4.0</v>
      </c>
      <c r="G147" s="34">
        <v>64.0</v>
      </c>
      <c r="H147" s="34" t="s">
        <v>29</v>
      </c>
      <c r="I147" s="34" t="s">
        <v>40</v>
      </c>
      <c r="J147" s="24"/>
      <c r="L147" s="34" t="s">
        <v>111</v>
      </c>
      <c r="M147" s="37" t="s">
        <v>418</v>
      </c>
      <c r="N147" s="24"/>
      <c r="O147" s="34" t="s">
        <v>29</v>
      </c>
      <c r="P147" s="34">
        <v>16.0</v>
      </c>
      <c r="Q147" s="36"/>
      <c r="R147" s="36"/>
      <c r="S147" s="36"/>
    </row>
    <row r="148" ht="15.75" customHeight="1">
      <c r="A148" s="33">
        <v>45151.41738496527</v>
      </c>
      <c r="B148" s="34" t="s">
        <v>66</v>
      </c>
      <c r="C148" s="34" t="s">
        <v>419</v>
      </c>
      <c r="D148" s="34" t="s">
        <v>38</v>
      </c>
      <c r="E148" s="34" t="s">
        <v>177</v>
      </c>
      <c r="F148" s="34">
        <v>1.0</v>
      </c>
      <c r="G148" s="34">
        <v>10.0</v>
      </c>
      <c r="H148" s="34" t="s">
        <v>40</v>
      </c>
      <c r="I148" s="34" t="s">
        <v>40</v>
      </c>
      <c r="J148" s="37" t="s">
        <v>435</v>
      </c>
      <c r="L148" s="34" t="s">
        <v>436</v>
      </c>
      <c r="M148" s="24"/>
      <c r="N148" s="24"/>
      <c r="O148" s="34" t="s">
        <v>40</v>
      </c>
      <c r="P148" s="34">
        <v>8.0</v>
      </c>
      <c r="Q148" s="36"/>
      <c r="R148" s="36"/>
      <c r="S148" s="36"/>
    </row>
    <row r="149" ht="15.75" customHeight="1">
      <c r="A149" s="33">
        <v>45151.41925356482</v>
      </c>
      <c r="B149" s="34" t="s">
        <v>66</v>
      </c>
      <c r="C149" s="34" t="s">
        <v>419</v>
      </c>
      <c r="D149" s="34" t="s">
        <v>38</v>
      </c>
      <c r="E149" s="34" t="s">
        <v>68</v>
      </c>
      <c r="F149" s="34">
        <v>1.0</v>
      </c>
      <c r="G149" s="34">
        <v>10.0</v>
      </c>
      <c r="H149" s="34" t="s">
        <v>40</v>
      </c>
      <c r="I149" s="34" t="s">
        <v>40</v>
      </c>
      <c r="J149" s="37" t="s">
        <v>435</v>
      </c>
      <c r="L149" s="34" t="s">
        <v>436</v>
      </c>
      <c r="M149" s="24"/>
      <c r="N149" s="24"/>
      <c r="O149" s="34" t="s">
        <v>40</v>
      </c>
      <c r="P149" s="34">
        <v>8.0</v>
      </c>
      <c r="Q149" s="36"/>
      <c r="R149" s="36"/>
      <c r="S149" s="36"/>
    </row>
    <row r="150" ht="15.75" customHeight="1">
      <c r="A150" s="33">
        <v>45154.9791409375</v>
      </c>
      <c r="B150" s="34" t="s">
        <v>254</v>
      </c>
      <c r="C150" s="34" t="s">
        <v>419</v>
      </c>
      <c r="D150" s="34" t="s">
        <v>27</v>
      </c>
      <c r="E150" s="34" t="s">
        <v>55</v>
      </c>
      <c r="F150" s="34">
        <v>4.0</v>
      </c>
      <c r="G150" s="34">
        <v>128.0</v>
      </c>
      <c r="H150" s="34" t="s">
        <v>29</v>
      </c>
      <c r="I150" s="34" t="s">
        <v>29</v>
      </c>
      <c r="J150" s="24"/>
      <c r="K150" s="39" t="s">
        <v>437</v>
      </c>
      <c r="L150" s="34" t="s">
        <v>31</v>
      </c>
      <c r="M150" s="37" t="s">
        <v>438</v>
      </c>
      <c r="N150" s="37" t="s">
        <v>439</v>
      </c>
      <c r="O150" s="34" t="s">
        <v>29</v>
      </c>
      <c r="P150" s="34">
        <v>32.0</v>
      </c>
      <c r="Q150" s="36"/>
      <c r="R150" s="36"/>
      <c r="S150" s="36"/>
    </row>
    <row r="151" ht="15.75" customHeight="1">
      <c r="A151" s="33">
        <v>45155.84538025463</v>
      </c>
      <c r="B151" s="34" t="s">
        <v>169</v>
      </c>
      <c r="C151" s="34" t="s">
        <v>419</v>
      </c>
      <c r="D151" s="34" t="s">
        <v>47</v>
      </c>
      <c r="E151" s="34" t="s">
        <v>165</v>
      </c>
      <c r="F151" s="34">
        <v>2.0</v>
      </c>
      <c r="G151" s="34">
        <v>32.0</v>
      </c>
      <c r="H151" s="34" t="s">
        <v>29</v>
      </c>
      <c r="I151" s="34" t="s">
        <v>40</v>
      </c>
      <c r="J151" s="24"/>
      <c r="K151" s="34" t="s">
        <v>440</v>
      </c>
      <c r="L151" s="34" t="s">
        <v>111</v>
      </c>
      <c r="M151" s="35" t="s">
        <v>50</v>
      </c>
      <c r="N151" s="24"/>
      <c r="O151" s="34" t="s">
        <v>29</v>
      </c>
      <c r="P151" s="34">
        <v>16.0</v>
      </c>
      <c r="Q151" s="36"/>
      <c r="R151" s="36"/>
      <c r="S151" s="36"/>
    </row>
    <row r="152" ht="15.75" customHeight="1">
      <c r="A152" s="33">
        <v>45158.240538784725</v>
      </c>
      <c r="B152" s="34" t="s">
        <v>45</v>
      </c>
      <c r="C152" s="34" t="s">
        <v>291</v>
      </c>
      <c r="D152" s="34" t="s">
        <v>38</v>
      </c>
      <c r="E152" s="34" t="s">
        <v>389</v>
      </c>
      <c r="F152" s="34">
        <v>2.0</v>
      </c>
      <c r="G152" s="34">
        <v>32.0</v>
      </c>
      <c r="H152" s="34" t="s">
        <v>29</v>
      </c>
      <c r="I152" s="34" t="s">
        <v>40</v>
      </c>
      <c r="J152" s="37" t="s">
        <v>441</v>
      </c>
      <c r="K152" s="34" t="s">
        <v>442</v>
      </c>
      <c r="L152" s="34" t="s">
        <v>443</v>
      </c>
      <c r="M152" s="35" t="s">
        <v>116</v>
      </c>
      <c r="N152" s="24"/>
      <c r="O152" s="34" t="s">
        <v>126</v>
      </c>
      <c r="P152" s="34">
        <v>16.0</v>
      </c>
      <c r="Q152" s="36"/>
      <c r="R152" s="36"/>
      <c r="S152" s="36"/>
    </row>
    <row r="153" ht="15.75" customHeight="1">
      <c r="A153" s="33">
        <v>45160.26677825231</v>
      </c>
      <c r="B153" s="34" t="s">
        <v>36</v>
      </c>
      <c r="C153" s="34" t="s">
        <v>363</v>
      </c>
      <c r="D153" s="34" t="s">
        <v>86</v>
      </c>
      <c r="E153" s="34" t="s">
        <v>149</v>
      </c>
      <c r="F153" s="34">
        <v>1.0</v>
      </c>
      <c r="G153" s="34">
        <v>20.0</v>
      </c>
      <c r="H153" s="34" t="s">
        <v>40</v>
      </c>
      <c r="I153" s="34" t="s">
        <v>40</v>
      </c>
      <c r="J153" s="24"/>
      <c r="K153" s="34" t="s">
        <v>444</v>
      </c>
      <c r="L153" s="34" t="s">
        <v>445</v>
      </c>
      <c r="M153" s="35" t="s">
        <v>446</v>
      </c>
      <c r="N153" s="24"/>
      <c r="O153" s="34" t="s">
        <v>40</v>
      </c>
      <c r="P153" s="34">
        <v>16.0</v>
      </c>
      <c r="Q153" s="36"/>
      <c r="R153" s="36"/>
      <c r="S153" s="36"/>
    </row>
    <row r="154" ht="15.75" customHeight="1">
      <c r="A154" s="33">
        <v>45161.118254710644</v>
      </c>
      <c r="B154" s="34" t="s">
        <v>288</v>
      </c>
      <c r="C154" s="34" t="s">
        <v>419</v>
      </c>
      <c r="D154" s="34" t="s">
        <v>107</v>
      </c>
      <c r="E154" s="34" t="s">
        <v>447</v>
      </c>
      <c r="F154" s="34">
        <v>1.0</v>
      </c>
      <c r="G154" s="34">
        <v>18.0</v>
      </c>
      <c r="H154" s="34" t="s">
        <v>29</v>
      </c>
      <c r="I154" s="34" t="s">
        <v>40</v>
      </c>
      <c r="J154" s="24"/>
      <c r="M154" s="24"/>
      <c r="N154" s="37" t="s">
        <v>448</v>
      </c>
      <c r="O154" s="34" t="s">
        <v>40</v>
      </c>
      <c r="P154" s="34">
        <v>16.0</v>
      </c>
      <c r="Q154" s="36"/>
      <c r="R154" s="36"/>
      <c r="S154" s="36"/>
    </row>
    <row r="155" ht="15.75" customHeight="1">
      <c r="A155" s="33">
        <v>45162.71138289352</v>
      </c>
      <c r="B155" s="34" t="s">
        <v>36</v>
      </c>
      <c r="C155" s="34" t="s">
        <v>363</v>
      </c>
      <c r="D155" s="34" t="s">
        <v>27</v>
      </c>
      <c r="E155" s="34" t="s">
        <v>212</v>
      </c>
      <c r="F155" s="34">
        <v>1.0</v>
      </c>
      <c r="G155" s="34">
        <v>20.0</v>
      </c>
      <c r="H155" s="34" t="s">
        <v>29</v>
      </c>
      <c r="I155" s="34" t="s">
        <v>40</v>
      </c>
      <c r="J155" s="24"/>
      <c r="K155" s="34" t="s">
        <v>444</v>
      </c>
      <c r="L155" s="34" t="s">
        <v>445</v>
      </c>
      <c r="M155" s="35" t="s">
        <v>446</v>
      </c>
      <c r="N155" s="24"/>
      <c r="O155" s="34" t="s">
        <v>40</v>
      </c>
      <c r="P155" s="34">
        <v>16.0</v>
      </c>
      <c r="Q155" s="36"/>
      <c r="R155" s="36"/>
      <c r="S155" s="36"/>
    </row>
    <row r="156" ht="15.75" customHeight="1">
      <c r="A156" s="33">
        <v>45162.87459535879</v>
      </c>
      <c r="B156" s="34" t="s">
        <v>2</v>
      </c>
      <c r="C156" s="34" t="s">
        <v>419</v>
      </c>
      <c r="D156" s="34" t="s">
        <v>38</v>
      </c>
      <c r="E156" s="34" t="s">
        <v>449</v>
      </c>
      <c r="F156" s="34">
        <v>2.0</v>
      </c>
      <c r="G156" s="34">
        <v>32.0</v>
      </c>
      <c r="H156" s="34" t="s">
        <v>29</v>
      </c>
      <c r="I156" s="34" t="s">
        <v>40</v>
      </c>
      <c r="J156" s="37" t="s">
        <v>450</v>
      </c>
      <c r="K156" s="34" t="s">
        <v>440</v>
      </c>
      <c r="L156" s="34" t="s">
        <v>111</v>
      </c>
      <c r="M156" s="35" t="s">
        <v>451</v>
      </c>
      <c r="N156" s="37" t="s">
        <v>452</v>
      </c>
      <c r="O156" s="34" t="s">
        <v>29</v>
      </c>
      <c r="P156" s="34">
        <v>16.0</v>
      </c>
      <c r="Q156" s="36"/>
      <c r="R156" s="36"/>
      <c r="S156" s="36"/>
    </row>
    <row r="157" ht="15.75" customHeight="1">
      <c r="A157" s="33">
        <v>45165.5502652662</v>
      </c>
      <c r="B157" s="34" t="s">
        <v>45</v>
      </c>
      <c r="C157" s="34" t="s">
        <v>453</v>
      </c>
      <c r="D157" s="34" t="s">
        <v>38</v>
      </c>
      <c r="E157" s="34" t="s">
        <v>224</v>
      </c>
      <c r="F157" s="34">
        <v>2.0</v>
      </c>
      <c r="G157" s="34">
        <v>32.0</v>
      </c>
      <c r="H157" s="34" t="s">
        <v>40</v>
      </c>
      <c r="I157" s="34" t="s">
        <v>40</v>
      </c>
      <c r="J157" s="37" t="s">
        <v>454</v>
      </c>
      <c r="K157" s="34" t="s">
        <v>455</v>
      </c>
      <c r="L157" s="34" t="s">
        <v>93</v>
      </c>
      <c r="M157" s="37" t="s">
        <v>210</v>
      </c>
      <c r="N157" s="24"/>
      <c r="O157" s="34" t="s">
        <v>40</v>
      </c>
      <c r="P157" s="34">
        <v>16.0</v>
      </c>
      <c r="Q157" s="36"/>
      <c r="R157" s="36"/>
      <c r="S157" s="36"/>
    </row>
    <row r="158" ht="15.75" customHeight="1">
      <c r="A158" s="33">
        <v>45165.71343482639</v>
      </c>
      <c r="B158" s="34" t="s">
        <v>36</v>
      </c>
      <c r="C158" s="34" t="s">
        <v>363</v>
      </c>
      <c r="D158" s="34" t="s">
        <v>27</v>
      </c>
      <c r="E158" s="34" t="s">
        <v>456</v>
      </c>
      <c r="F158" s="34">
        <v>1.0</v>
      </c>
      <c r="G158" s="34">
        <v>20.0</v>
      </c>
      <c r="H158" s="34" t="s">
        <v>29</v>
      </c>
      <c r="I158" s="34" t="s">
        <v>29</v>
      </c>
      <c r="J158" s="24"/>
      <c r="L158" s="34" t="s">
        <v>239</v>
      </c>
      <c r="M158" s="24"/>
      <c r="N158" s="37" t="s">
        <v>457</v>
      </c>
      <c r="O158" s="34" t="s">
        <v>40</v>
      </c>
      <c r="P158" s="34">
        <v>16.0</v>
      </c>
      <c r="Q158" s="36"/>
      <c r="R158" s="36"/>
      <c r="S158" s="36"/>
    </row>
    <row r="159" ht="15.75" customHeight="1">
      <c r="A159" s="33">
        <v>45167.40512775463</v>
      </c>
      <c r="B159" s="34" t="s">
        <v>138</v>
      </c>
      <c r="C159" s="34" t="s">
        <v>419</v>
      </c>
      <c r="D159" s="34" t="s">
        <v>71</v>
      </c>
      <c r="E159" s="34" t="s">
        <v>458</v>
      </c>
      <c r="F159" s="34">
        <v>1.0</v>
      </c>
      <c r="G159" s="34">
        <v>10.0</v>
      </c>
      <c r="H159" s="34" t="s">
        <v>29</v>
      </c>
      <c r="I159" s="34" t="s">
        <v>40</v>
      </c>
      <c r="J159" s="24"/>
      <c r="M159" s="35" t="s">
        <v>50</v>
      </c>
      <c r="N159" s="24"/>
      <c r="O159" s="34" t="s">
        <v>29</v>
      </c>
      <c r="P159" s="34">
        <v>8.0</v>
      </c>
      <c r="Q159" s="36"/>
      <c r="R159" s="36"/>
      <c r="S159" s="36"/>
    </row>
    <row r="160" ht="15.75" customHeight="1">
      <c r="A160" s="33">
        <v>45167.60891122685</v>
      </c>
      <c r="B160" s="34" t="s">
        <v>459</v>
      </c>
      <c r="C160" s="34" t="s">
        <v>419</v>
      </c>
      <c r="D160" s="34" t="s">
        <v>460</v>
      </c>
      <c r="E160" s="34" t="s">
        <v>461</v>
      </c>
      <c r="F160" s="34">
        <v>2.0</v>
      </c>
      <c r="G160" s="34">
        <v>16.0</v>
      </c>
      <c r="H160" s="34" t="s">
        <v>29</v>
      </c>
      <c r="I160" s="34" t="s">
        <v>40</v>
      </c>
      <c r="J160" s="37" t="s">
        <v>462</v>
      </c>
      <c r="K160" s="34" t="s">
        <v>463</v>
      </c>
      <c r="L160" s="34" t="s">
        <v>111</v>
      </c>
      <c r="M160" s="35" t="s">
        <v>50</v>
      </c>
      <c r="N160" s="37" t="s">
        <v>464</v>
      </c>
      <c r="O160" s="34" t="s">
        <v>40</v>
      </c>
      <c r="P160" s="34">
        <v>8.0</v>
      </c>
      <c r="Q160" s="36"/>
      <c r="R160" s="36"/>
      <c r="S160" s="36"/>
    </row>
    <row r="161" ht="15.75" customHeight="1">
      <c r="A161" s="33">
        <v>45167.660684710645</v>
      </c>
      <c r="B161" s="34" t="s">
        <v>465</v>
      </c>
      <c r="D161" s="34" t="s">
        <v>38</v>
      </c>
      <c r="E161" s="34" t="s">
        <v>153</v>
      </c>
      <c r="F161" s="34">
        <v>1.0</v>
      </c>
      <c r="G161" s="34">
        <v>10.0</v>
      </c>
      <c r="H161" s="34" t="s">
        <v>40</v>
      </c>
      <c r="I161" s="34" t="s">
        <v>40</v>
      </c>
      <c r="J161" s="37" t="s">
        <v>466</v>
      </c>
      <c r="K161" s="34" t="s">
        <v>467</v>
      </c>
      <c r="L161" s="34" t="s">
        <v>468</v>
      </c>
      <c r="M161" s="37" t="s">
        <v>469</v>
      </c>
      <c r="N161" s="24"/>
      <c r="O161" s="34" t="s">
        <v>40</v>
      </c>
      <c r="P161" s="34">
        <v>8.0</v>
      </c>
      <c r="Q161" s="36"/>
      <c r="R161" s="36"/>
      <c r="S161" s="36"/>
    </row>
    <row r="162" ht="15.75" customHeight="1">
      <c r="A162" s="33">
        <v>45171.25156991898</v>
      </c>
      <c r="B162" s="34" t="s">
        <v>470</v>
      </c>
      <c r="C162" s="34" t="s">
        <v>363</v>
      </c>
      <c r="D162" s="34" t="s">
        <v>38</v>
      </c>
      <c r="E162" s="34" t="s">
        <v>153</v>
      </c>
      <c r="F162" s="34">
        <v>1.0</v>
      </c>
      <c r="G162" s="34">
        <v>10.0</v>
      </c>
      <c r="H162" s="34" t="s">
        <v>29</v>
      </c>
      <c r="I162" s="34" t="s">
        <v>29</v>
      </c>
      <c r="J162" s="24"/>
      <c r="K162" s="34" t="s">
        <v>471</v>
      </c>
      <c r="L162" s="34" t="s">
        <v>186</v>
      </c>
      <c r="M162" s="37" t="s">
        <v>472</v>
      </c>
      <c r="N162" s="24"/>
      <c r="O162" s="34" t="s">
        <v>40</v>
      </c>
      <c r="P162" s="34">
        <v>8.0</v>
      </c>
      <c r="Q162" s="36"/>
      <c r="R162" s="36"/>
      <c r="S162" s="36"/>
    </row>
    <row r="163" ht="15.75" customHeight="1">
      <c r="A163" s="33">
        <v>45172.59369861111</v>
      </c>
      <c r="B163" s="34" t="s">
        <v>124</v>
      </c>
      <c r="C163" s="34">
        <v>7.2</v>
      </c>
      <c r="D163" s="34" t="s">
        <v>119</v>
      </c>
      <c r="E163" s="34" t="s">
        <v>473</v>
      </c>
      <c r="F163" s="34">
        <v>1.0</v>
      </c>
      <c r="G163" s="34">
        <v>18.0</v>
      </c>
      <c r="H163" s="34" t="s">
        <v>29</v>
      </c>
      <c r="I163" s="34" t="s">
        <v>40</v>
      </c>
      <c r="J163" s="24"/>
      <c r="K163" s="34" t="s">
        <v>474</v>
      </c>
      <c r="L163" s="34" t="s">
        <v>366</v>
      </c>
      <c r="M163" s="37" t="s">
        <v>475</v>
      </c>
      <c r="N163" s="24"/>
      <c r="O163" s="34" t="s">
        <v>40</v>
      </c>
      <c r="P163" s="34">
        <v>16.0</v>
      </c>
      <c r="Q163" s="36"/>
      <c r="R163" s="36"/>
      <c r="S163" s="36"/>
    </row>
    <row r="164" ht="15.75" customHeight="1">
      <c r="A164" s="33">
        <v>45172.595096053235</v>
      </c>
      <c r="B164" s="34" t="s">
        <v>124</v>
      </c>
      <c r="C164" s="34">
        <v>7.2</v>
      </c>
      <c r="D164" s="34" t="s">
        <v>27</v>
      </c>
      <c r="E164" s="34" t="s">
        <v>157</v>
      </c>
      <c r="F164" s="34">
        <v>1.0</v>
      </c>
      <c r="G164" s="34">
        <v>18.0</v>
      </c>
      <c r="H164" s="34" t="s">
        <v>40</v>
      </c>
      <c r="I164" s="34" t="s">
        <v>40</v>
      </c>
      <c r="J164" s="37" t="s">
        <v>476</v>
      </c>
      <c r="K164" s="34" t="s">
        <v>477</v>
      </c>
      <c r="L164" s="34" t="s">
        <v>366</v>
      </c>
      <c r="M164" s="37" t="s">
        <v>478</v>
      </c>
      <c r="N164" s="24"/>
      <c r="O164" s="34" t="s">
        <v>40</v>
      </c>
      <c r="P164" s="34">
        <v>16.0</v>
      </c>
      <c r="Q164" s="36"/>
      <c r="R164" s="36"/>
      <c r="S164" s="36"/>
    </row>
    <row r="165" ht="15.75" customHeight="1">
      <c r="A165" s="33">
        <v>45172.94716790509</v>
      </c>
      <c r="B165" s="34" t="s">
        <v>288</v>
      </c>
      <c r="C165" s="34" t="s">
        <v>419</v>
      </c>
      <c r="D165" s="34" t="s">
        <v>119</v>
      </c>
      <c r="E165" s="34" t="s">
        <v>479</v>
      </c>
      <c r="F165" s="34">
        <v>1.0</v>
      </c>
      <c r="G165" s="34">
        <v>6.0</v>
      </c>
      <c r="H165" s="34" t="s">
        <v>29</v>
      </c>
      <c r="I165" s="34" t="s">
        <v>40</v>
      </c>
      <c r="J165" s="24"/>
      <c r="M165" s="37" t="s">
        <v>480</v>
      </c>
      <c r="N165" s="24"/>
      <c r="O165" s="34" t="s">
        <v>40</v>
      </c>
      <c r="P165" s="34">
        <v>4.0</v>
      </c>
      <c r="Q165" s="36"/>
      <c r="R165" s="36"/>
      <c r="S165" s="36"/>
    </row>
    <row r="166" ht="15.75" customHeight="1">
      <c r="A166" s="33">
        <v>45175.14746141204</v>
      </c>
      <c r="B166" s="34" t="s">
        <v>465</v>
      </c>
      <c r="C166" s="34" t="s">
        <v>419</v>
      </c>
      <c r="D166" s="34" t="s">
        <v>119</v>
      </c>
      <c r="E166" s="34" t="s">
        <v>120</v>
      </c>
      <c r="F166" s="34">
        <v>1.0</v>
      </c>
      <c r="G166" s="34">
        <v>10.0</v>
      </c>
      <c r="H166" s="34" t="s">
        <v>29</v>
      </c>
      <c r="I166" s="34" t="s">
        <v>40</v>
      </c>
      <c r="J166" s="37" t="s">
        <v>481</v>
      </c>
      <c r="K166" s="34" t="s">
        <v>482</v>
      </c>
      <c r="L166" s="34" t="s">
        <v>151</v>
      </c>
      <c r="M166" s="37" t="s">
        <v>483</v>
      </c>
      <c r="N166" s="24"/>
      <c r="O166" s="34" t="s">
        <v>40</v>
      </c>
      <c r="P166" s="34">
        <v>8.0</v>
      </c>
      <c r="Q166" s="36"/>
      <c r="R166" s="36"/>
      <c r="S166" s="36"/>
    </row>
    <row r="167" ht="15.75" customHeight="1">
      <c r="A167" s="33">
        <v>45178.84844460648</v>
      </c>
      <c r="B167" s="34" t="s">
        <v>138</v>
      </c>
      <c r="C167" s="34" t="s">
        <v>419</v>
      </c>
      <c r="D167" s="34" t="s">
        <v>38</v>
      </c>
      <c r="E167" s="34" t="s">
        <v>484</v>
      </c>
      <c r="F167" s="34">
        <v>2.0</v>
      </c>
      <c r="G167" s="34">
        <v>16.0</v>
      </c>
      <c r="H167" s="34" t="s">
        <v>29</v>
      </c>
      <c r="I167" s="34" t="s">
        <v>40</v>
      </c>
      <c r="J167" s="37" t="s">
        <v>485</v>
      </c>
      <c r="K167" s="34" t="s">
        <v>486</v>
      </c>
      <c r="L167" s="34" t="s">
        <v>31</v>
      </c>
      <c r="M167" s="35" t="s">
        <v>487</v>
      </c>
      <c r="N167" s="24"/>
      <c r="O167" s="34" t="s">
        <v>40</v>
      </c>
      <c r="P167" s="34">
        <v>8.0</v>
      </c>
      <c r="Q167" s="36"/>
      <c r="R167" s="36"/>
      <c r="S167" s="36"/>
    </row>
    <row r="168" ht="15.75" customHeight="1">
      <c r="A168" s="33">
        <v>45179.60108006945</v>
      </c>
      <c r="B168" s="34" t="s">
        <v>488</v>
      </c>
      <c r="C168" s="34" t="s">
        <v>350</v>
      </c>
      <c r="D168" s="34" t="s">
        <v>38</v>
      </c>
      <c r="E168" s="34" t="s">
        <v>102</v>
      </c>
      <c r="F168" s="34">
        <v>2.0</v>
      </c>
      <c r="G168" s="34">
        <v>48.0</v>
      </c>
      <c r="H168" s="34" t="s">
        <v>40</v>
      </c>
      <c r="J168" s="37" t="s">
        <v>489</v>
      </c>
      <c r="L168" s="34" t="s">
        <v>111</v>
      </c>
      <c r="M168" s="35" t="s">
        <v>112</v>
      </c>
      <c r="N168" s="24"/>
      <c r="O168" s="34" t="s">
        <v>29</v>
      </c>
      <c r="P168" s="34">
        <v>16.0</v>
      </c>
      <c r="Q168" s="36"/>
      <c r="R168" s="36"/>
      <c r="S168" s="36"/>
    </row>
    <row r="169" ht="15.75" customHeight="1">
      <c r="A169" s="33">
        <v>45180.552388564814</v>
      </c>
      <c r="B169" s="34" t="s">
        <v>124</v>
      </c>
      <c r="C169" s="34" t="s">
        <v>490</v>
      </c>
      <c r="D169" s="34" t="s">
        <v>71</v>
      </c>
      <c r="E169" s="34" t="s">
        <v>491</v>
      </c>
      <c r="F169" s="34">
        <v>1.0</v>
      </c>
      <c r="G169" s="34">
        <v>18.0</v>
      </c>
      <c r="H169" s="34" t="s">
        <v>29</v>
      </c>
      <c r="I169" s="34" t="s">
        <v>40</v>
      </c>
      <c r="J169" s="37" t="s">
        <v>492</v>
      </c>
      <c r="K169" s="34" t="s">
        <v>493</v>
      </c>
      <c r="L169" s="34" t="s">
        <v>111</v>
      </c>
      <c r="M169" s="35" t="s">
        <v>50</v>
      </c>
      <c r="N169" s="37" t="s">
        <v>494</v>
      </c>
      <c r="P169" s="34">
        <v>16.0</v>
      </c>
      <c r="Q169" s="36"/>
      <c r="R169" s="36"/>
      <c r="S169" s="36"/>
    </row>
    <row r="170" ht="15.75" customHeight="1">
      <c r="A170" s="33">
        <v>45181.34453484954</v>
      </c>
      <c r="B170" s="34" t="s">
        <v>294</v>
      </c>
      <c r="C170" s="34" t="s">
        <v>363</v>
      </c>
      <c r="D170" s="34" t="s">
        <v>27</v>
      </c>
      <c r="E170" s="34" t="s">
        <v>28</v>
      </c>
      <c r="F170" s="34">
        <v>1.0</v>
      </c>
      <c r="G170" s="34">
        <v>20.0</v>
      </c>
      <c r="H170" s="34" t="s">
        <v>29</v>
      </c>
      <c r="I170" s="34" t="s">
        <v>29</v>
      </c>
      <c r="J170" s="24"/>
      <c r="K170" s="34" t="s">
        <v>495</v>
      </c>
      <c r="L170" s="34" t="s">
        <v>140</v>
      </c>
      <c r="M170" s="37" t="s">
        <v>496</v>
      </c>
      <c r="N170" s="37" t="s">
        <v>497</v>
      </c>
      <c r="O170" s="34" t="s">
        <v>29</v>
      </c>
      <c r="P170" s="34">
        <v>16.0</v>
      </c>
      <c r="Q170" s="36"/>
      <c r="R170" s="36"/>
      <c r="S170" s="36"/>
    </row>
    <row r="171" ht="15.75" customHeight="1">
      <c r="A171" s="33">
        <v>45184.701279409725</v>
      </c>
      <c r="B171" s="34" t="s">
        <v>45</v>
      </c>
      <c r="C171" s="34" t="s">
        <v>498</v>
      </c>
      <c r="D171" s="34" t="s">
        <v>132</v>
      </c>
      <c r="E171" s="34" t="s">
        <v>281</v>
      </c>
      <c r="F171" s="34">
        <v>2.0</v>
      </c>
      <c r="G171" s="34">
        <v>64.0</v>
      </c>
      <c r="H171" s="34" t="s">
        <v>29</v>
      </c>
      <c r="I171" s="34" t="s">
        <v>40</v>
      </c>
      <c r="J171" s="37" t="s">
        <v>499</v>
      </c>
      <c r="K171" s="34" t="s">
        <v>500</v>
      </c>
      <c r="L171" s="34" t="s">
        <v>111</v>
      </c>
      <c r="M171" s="37" t="s">
        <v>210</v>
      </c>
      <c r="N171" s="24"/>
      <c r="O171" s="34" t="s">
        <v>29</v>
      </c>
      <c r="P171" s="34">
        <v>32.0</v>
      </c>
      <c r="Q171" s="36"/>
      <c r="R171" s="36"/>
      <c r="S171" s="36"/>
    </row>
    <row r="172" ht="15.75" customHeight="1">
      <c r="A172" s="33">
        <v>45186.657452685184</v>
      </c>
      <c r="B172" s="34" t="s">
        <v>488</v>
      </c>
      <c r="C172" s="34" t="s">
        <v>350</v>
      </c>
      <c r="D172" s="34" t="s">
        <v>47</v>
      </c>
      <c r="E172" s="34" t="s">
        <v>501</v>
      </c>
      <c r="F172" s="34">
        <v>2.0</v>
      </c>
      <c r="G172" s="34">
        <v>48.0</v>
      </c>
      <c r="H172" s="34" t="s">
        <v>29</v>
      </c>
      <c r="I172" s="34" t="s">
        <v>40</v>
      </c>
      <c r="J172" s="37" t="s">
        <v>502</v>
      </c>
      <c r="K172" s="34" t="s">
        <v>503</v>
      </c>
      <c r="L172" s="34" t="s">
        <v>111</v>
      </c>
      <c r="M172" s="35" t="s">
        <v>50</v>
      </c>
      <c r="N172" s="24"/>
      <c r="O172" s="34" t="s">
        <v>29</v>
      </c>
      <c r="P172" s="34">
        <v>16.0</v>
      </c>
      <c r="Q172" s="36"/>
      <c r="R172" s="36"/>
      <c r="S172" s="36"/>
    </row>
    <row r="173" ht="15.75" customHeight="1">
      <c r="A173" s="33">
        <v>45187.70301708333</v>
      </c>
      <c r="B173" s="34" t="s">
        <v>2</v>
      </c>
      <c r="C173" s="34" t="s">
        <v>419</v>
      </c>
      <c r="D173" s="34" t="s">
        <v>119</v>
      </c>
      <c r="E173" s="34" t="s">
        <v>269</v>
      </c>
      <c r="F173" s="34">
        <v>1.0</v>
      </c>
      <c r="G173" s="34">
        <v>20.0</v>
      </c>
      <c r="H173" s="34" t="s">
        <v>40</v>
      </c>
      <c r="I173" s="34" t="s">
        <v>40</v>
      </c>
      <c r="J173" s="37" t="s">
        <v>504</v>
      </c>
      <c r="K173" s="34" t="s">
        <v>323</v>
      </c>
      <c r="L173" s="34" t="s">
        <v>111</v>
      </c>
      <c r="M173" s="35" t="s">
        <v>50</v>
      </c>
      <c r="N173" s="37" t="s">
        <v>505</v>
      </c>
      <c r="O173" s="34" t="s">
        <v>40</v>
      </c>
      <c r="P173" s="34">
        <v>16.0</v>
      </c>
      <c r="Q173" s="36"/>
      <c r="R173" s="36"/>
      <c r="S173" s="36"/>
    </row>
    <row r="174" ht="15.75" customHeight="1">
      <c r="A174" s="33">
        <v>45188.68388399306</v>
      </c>
      <c r="B174" s="34" t="s">
        <v>36</v>
      </c>
      <c r="C174" s="34" t="s">
        <v>363</v>
      </c>
      <c r="D174" s="34" t="s">
        <v>71</v>
      </c>
      <c r="E174" s="34" t="s">
        <v>345</v>
      </c>
      <c r="F174" s="34">
        <v>1.0</v>
      </c>
      <c r="G174" s="34">
        <v>20.0</v>
      </c>
      <c r="H174" s="34" t="s">
        <v>29</v>
      </c>
      <c r="I174" s="34" t="s">
        <v>40</v>
      </c>
      <c r="J174" s="24"/>
      <c r="L174" s="34" t="s">
        <v>111</v>
      </c>
      <c r="M174" s="38" t="s">
        <v>506</v>
      </c>
      <c r="N174" s="24"/>
      <c r="O174" s="34" t="s">
        <v>40</v>
      </c>
      <c r="P174" s="34">
        <v>16.0</v>
      </c>
      <c r="Q174" s="36"/>
      <c r="R174" s="36"/>
      <c r="S174" s="36"/>
    </row>
    <row r="175" ht="15.75" customHeight="1">
      <c r="A175" s="33">
        <v>45188.743049641205</v>
      </c>
      <c r="B175" s="34" t="s">
        <v>124</v>
      </c>
      <c r="C175" s="34" t="s">
        <v>363</v>
      </c>
      <c r="D175" s="34" t="s">
        <v>71</v>
      </c>
      <c r="E175" s="34" t="s">
        <v>396</v>
      </c>
      <c r="F175" s="34">
        <v>1.0</v>
      </c>
      <c r="G175" s="34">
        <v>18.0</v>
      </c>
      <c r="H175" s="34" t="s">
        <v>29</v>
      </c>
      <c r="I175" s="34" t="s">
        <v>40</v>
      </c>
      <c r="J175" s="37" t="s">
        <v>507</v>
      </c>
      <c r="L175" s="34" t="s">
        <v>111</v>
      </c>
      <c r="M175" s="35" t="s">
        <v>116</v>
      </c>
      <c r="N175" s="24"/>
      <c r="O175" s="34" t="s">
        <v>40</v>
      </c>
      <c r="P175" s="34">
        <v>16.0</v>
      </c>
      <c r="Q175" s="36"/>
      <c r="R175" s="36"/>
      <c r="S175" s="36"/>
    </row>
    <row r="176" ht="15.75" customHeight="1">
      <c r="A176" s="33">
        <v>45191.55017549769</v>
      </c>
      <c r="B176" s="34" t="s">
        <v>288</v>
      </c>
      <c r="C176" s="34" t="s">
        <v>419</v>
      </c>
      <c r="D176" s="34" t="s">
        <v>38</v>
      </c>
      <c r="E176" s="34" t="s">
        <v>177</v>
      </c>
      <c r="F176" s="34">
        <v>1.0</v>
      </c>
      <c r="G176" s="34">
        <v>10.0</v>
      </c>
      <c r="H176" s="34" t="s">
        <v>29</v>
      </c>
      <c r="I176" s="34" t="s">
        <v>40</v>
      </c>
      <c r="J176" s="24"/>
      <c r="L176" s="34" t="s">
        <v>508</v>
      </c>
      <c r="M176" s="35" t="s">
        <v>509</v>
      </c>
      <c r="N176" s="24"/>
      <c r="O176" s="34" t="s">
        <v>126</v>
      </c>
      <c r="P176" s="34">
        <v>8.0</v>
      </c>
      <c r="Q176" s="36"/>
      <c r="R176" s="36"/>
      <c r="S176" s="36"/>
    </row>
    <row r="177" ht="15.75" customHeight="1">
      <c r="A177" s="33">
        <v>45192.919402245374</v>
      </c>
      <c r="B177" s="34" t="s">
        <v>66</v>
      </c>
      <c r="C177" s="34" t="s">
        <v>419</v>
      </c>
      <c r="D177" s="34" t="s">
        <v>27</v>
      </c>
      <c r="E177" s="34" t="s">
        <v>231</v>
      </c>
      <c r="F177" s="34">
        <v>1.0</v>
      </c>
      <c r="G177" s="34">
        <v>10.0</v>
      </c>
      <c r="H177" s="34" t="s">
        <v>40</v>
      </c>
      <c r="I177" s="34" t="s">
        <v>40</v>
      </c>
      <c r="J177" s="24"/>
      <c r="L177" s="34" t="s">
        <v>510</v>
      </c>
      <c r="M177" s="24"/>
      <c r="N177" s="24"/>
      <c r="O177" s="34" t="s">
        <v>126</v>
      </c>
      <c r="P177" s="34">
        <v>8.0</v>
      </c>
      <c r="Q177" s="36"/>
      <c r="R177" s="36"/>
      <c r="S177" s="36"/>
    </row>
    <row r="178" ht="15.75" customHeight="1">
      <c r="A178" s="33">
        <v>45193.52191517361</v>
      </c>
      <c r="B178" s="34" t="s">
        <v>138</v>
      </c>
      <c r="C178" s="34" t="s">
        <v>419</v>
      </c>
      <c r="D178" s="34" t="s">
        <v>27</v>
      </c>
      <c r="E178" s="34" t="s">
        <v>511</v>
      </c>
      <c r="F178" s="34">
        <v>2.0</v>
      </c>
      <c r="G178" s="34">
        <v>32.0</v>
      </c>
      <c r="H178" s="34" t="s">
        <v>29</v>
      </c>
      <c r="I178" s="34" t="s">
        <v>29</v>
      </c>
      <c r="J178" s="24"/>
      <c r="M178" s="24"/>
      <c r="N178" s="24"/>
      <c r="O178" s="34" t="s">
        <v>29</v>
      </c>
      <c r="P178" s="34">
        <v>16.0</v>
      </c>
      <c r="Q178" s="36"/>
      <c r="R178" s="36"/>
      <c r="S178" s="36"/>
    </row>
    <row r="179" ht="15.75" customHeight="1">
      <c r="A179" s="33">
        <v>45193.83879790509</v>
      </c>
      <c r="B179" s="34" t="s">
        <v>138</v>
      </c>
      <c r="C179" s="34" t="s">
        <v>419</v>
      </c>
      <c r="D179" s="34" t="s">
        <v>107</v>
      </c>
      <c r="E179" s="34" t="s">
        <v>289</v>
      </c>
      <c r="F179" s="34">
        <v>2.0</v>
      </c>
      <c r="G179" s="34">
        <v>16.0</v>
      </c>
      <c r="H179" s="34" t="s">
        <v>29</v>
      </c>
      <c r="I179" s="34" t="s">
        <v>40</v>
      </c>
      <c r="J179" s="24"/>
      <c r="K179" s="34" t="s">
        <v>512</v>
      </c>
      <c r="M179" s="24"/>
      <c r="N179" s="24"/>
      <c r="O179" s="34" t="s">
        <v>40</v>
      </c>
      <c r="P179" s="34">
        <v>8.0</v>
      </c>
      <c r="Q179" s="36"/>
      <c r="R179" s="36"/>
      <c r="S179" s="36"/>
    </row>
    <row r="180" ht="15.75" customHeight="1">
      <c r="A180" s="33">
        <v>45194.22016024306</v>
      </c>
      <c r="B180" s="34" t="s">
        <v>124</v>
      </c>
      <c r="C180" s="34" t="s">
        <v>513</v>
      </c>
      <c r="D180" s="34" t="s">
        <v>38</v>
      </c>
      <c r="E180" s="34" t="s">
        <v>514</v>
      </c>
      <c r="F180" s="34">
        <v>1.0</v>
      </c>
      <c r="G180" s="34">
        <v>10.0</v>
      </c>
      <c r="H180" s="34" t="s">
        <v>29</v>
      </c>
      <c r="I180" s="34" t="s">
        <v>40</v>
      </c>
      <c r="J180" s="37" t="s">
        <v>515</v>
      </c>
      <c r="K180" s="34" t="s">
        <v>516</v>
      </c>
      <c r="L180" s="31" t="s">
        <v>111</v>
      </c>
      <c r="M180" s="35" t="s">
        <v>50</v>
      </c>
      <c r="N180" s="24"/>
      <c r="O180" s="34" t="s">
        <v>126</v>
      </c>
      <c r="P180" s="34">
        <v>8.0</v>
      </c>
      <c r="Q180" s="36"/>
      <c r="R180" s="36"/>
      <c r="S180" s="36"/>
    </row>
    <row r="181" ht="15.75" customHeight="1">
      <c r="A181" s="33">
        <v>45194.861951087965</v>
      </c>
      <c r="B181" s="34" t="s">
        <v>288</v>
      </c>
      <c r="C181" s="34" t="s">
        <v>419</v>
      </c>
      <c r="D181" s="34" t="s">
        <v>38</v>
      </c>
      <c r="E181" s="34" t="s">
        <v>368</v>
      </c>
      <c r="F181" s="34">
        <v>1.0</v>
      </c>
      <c r="G181" s="34">
        <v>18.0</v>
      </c>
      <c r="H181" s="34" t="s">
        <v>40</v>
      </c>
      <c r="I181" s="34" t="s">
        <v>40</v>
      </c>
      <c r="J181" s="37" t="s">
        <v>517</v>
      </c>
      <c r="L181" s="34" t="s">
        <v>93</v>
      </c>
      <c r="M181" s="35" t="s">
        <v>50</v>
      </c>
      <c r="N181" s="24"/>
      <c r="O181" s="34" t="s">
        <v>40</v>
      </c>
      <c r="P181" s="34">
        <v>16.0</v>
      </c>
      <c r="Q181" s="36"/>
      <c r="R181" s="36"/>
      <c r="S181" s="36"/>
    </row>
    <row r="182" ht="15.75" customHeight="1">
      <c r="A182" s="33">
        <v>45195.36715306713</v>
      </c>
      <c r="B182" s="34" t="s">
        <v>2</v>
      </c>
      <c r="C182" s="34" t="s">
        <v>518</v>
      </c>
      <c r="D182" s="34" t="s">
        <v>519</v>
      </c>
      <c r="E182" s="34" t="s">
        <v>520</v>
      </c>
      <c r="F182" s="34">
        <v>2.0</v>
      </c>
      <c r="G182" s="34">
        <v>32.0</v>
      </c>
      <c r="H182" s="34" t="s">
        <v>29</v>
      </c>
      <c r="I182" s="34" t="s">
        <v>40</v>
      </c>
      <c r="J182" s="24"/>
      <c r="K182" s="34" t="s">
        <v>521</v>
      </c>
      <c r="M182" s="37" t="s">
        <v>260</v>
      </c>
      <c r="N182" s="24"/>
      <c r="O182" s="34" t="s">
        <v>126</v>
      </c>
      <c r="P182" s="34">
        <v>16.0</v>
      </c>
      <c r="Q182" s="36"/>
      <c r="R182" s="36"/>
      <c r="S182" s="36"/>
    </row>
    <row r="183" ht="15.75" customHeight="1">
      <c r="A183" s="33">
        <v>45196.72045266203</v>
      </c>
      <c r="B183" s="34" t="s">
        <v>2</v>
      </c>
      <c r="C183" s="34" t="s">
        <v>419</v>
      </c>
      <c r="D183" s="34" t="s">
        <v>38</v>
      </c>
      <c r="E183" s="34" t="s">
        <v>522</v>
      </c>
      <c r="F183" s="34">
        <v>2.0</v>
      </c>
      <c r="G183" s="34">
        <v>32.0</v>
      </c>
      <c r="H183" s="34" t="s">
        <v>29</v>
      </c>
      <c r="I183" s="34" t="s">
        <v>40</v>
      </c>
      <c r="J183" s="37" t="s">
        <v>523</v>
      </c>
      <c r="K183" s="34" t="s">
        <v>524</v>
      </c>
      <c r="L183" s="31" t="s">
        <v>111</v>
      </c>
      <c r="M183" s="37" t="s">
        <v>210</v>
      </c>
      <c r="N183" s="37" t="s">
        <v>525</v>
      </c>
      <c r="O183" s="34" t="s">
        <v>40</v>
      </c>
      <c r="P183" s="34">
        <v>16.0</v>
      </c>
      <c r="Q183" s="36"/>
      <c r="R183" s="36"/>
      <c r="S183" s="36"/>
    </row>
    <row r="184" ht="15.75" customHeight="1">
      <c r="A184" s="33">
        <v>45198.877292916666</v>
      </c>
      <c r="B184" s="34" t="s">
        <v>138</v>
      </c>
      <c r="C184" s="34" t="s">
        <v>419</v>
      </c>
      <c r="D184" s="34" t="s">
        <v>27</v>
      </c>
      <c r="E184" s="34" t="s">
        <v>28</v>
      </c>
      <c r="F184" s="34">
        <v>2.0</v>
      </c>
      <c r="G184" s="34">
        <v>32.0</v>
      </c>
      <c r="H184" s="34" t="s">
        <v>29</v>
      </c>
      <c r="I184" s="34" t="s">
        <v>40</v>
      </c>
      <c r="J184" s="37" t="s">
        <v>526</v>
      </c>
      <c r="L184" s="34" t="s">
        <v>140</v>
      </c>
      <c r="M184" s="37" t="s">
        <v>527</v>
      </c>
      <c r="N184" s="24"/>
      <c r="O184" s="34" t="s">
        <v>126</v>
      </c>
      <c r="P184" s="34">
        <v>16.0</v>
      </c>
      <c r="Q184" s="36"/>
      <c r="R184" s="36"/>
      <c r="S184" s="36"/>
    </row>
    <row r="185" ht="15.75" customHeight="1">
      <c r="A185" s="33">
        <v>45201.15670148148</v>
      </c>
      <c r="B185" s="34" t="s">
        <v>36</v>
      </c>
      <c r="C185" s="34" t="s">
        <v>419</v>
      </c>
      <c r="D185" s="34" t="s">
        <v>71</v>
      </c>
      <c r="E185" s="34" t="s">
        <v>491</v>
      </c>
      <c r="F185" s="34">
        <v>1.0</v>
      </c>
      <c r="G185" s="34">
        <v>20.0</v>
      </c>
      <c r="H185" s="34" t="s">
        <v>29</v>
      </c>
      <c r="I185" s="34" t="s">
        <v>40</v>
      </c>
      <c r="J185" s="24"/>
      <c r="K185" s="34" t="s">
        <v>528</v>
      </c>
      <c r="L185" s="34" t="s">
        <v>111</v>
      </c>
      <c r="M185" s="37" t="s">
        <v>260</v>
      </c>
      <c r="N185" s="24"/>
      <c r="O185" s="34" t="s">
        <v>126</v>
      </c>
      <c r="P185" s="34">
        <v>16.0</v>
      </c>
      <c r="Q185" s="36"/>
      <c r="R185" s="36"/>
      <c r="S185" s="36"/>
    </row>
    <row r="186" ht="15.75" customHeight="1">
      <c r="A186" s="33">
        <v>45205.13295454861</v>
      </c>
      <c r="B186" s="34" t="s">
        <v>465</v>
      </c>
      <c r="C186" s="34" t="s">
        <v>419</v>
      </c>
      <c r="D186" s="34" t="s">
        <v>27</v>
      </c>
      <c r="E186" s="34" t="s">
        <v>529</v>
      </c>
      <c r="F186" s="34">
        <v>1.0</v>
      </c>
      <c r="G186" s="34">
        <v>2.0</v>
      </c>
      <c r="H186" s="34" t="s">
        <v>40</v>
      </c>
      <c r="I186" s="34" t="s">
        <v>40</v>
      </c>
      <c r="J186" s="37" t="s">
        <v>530</v>
      </c>
      <c r="K186" s="34" t="s">
        <v>531</v>
      </c>
      <c r="L186" s="34" t="s">
        <v>532</v>
      </c>
      <c r="M186" s="37" t="s">
        <v>533</v>
      </c>
      <c r="N186" s="24"/>
      <c r="O186" s="34" t="s">
        <v>40</v>
      </c>
      <c r="P186" s="34">
        <v>16.0</v>
      </c>
      <c r="Q186" s="36"/>
      <c r="R186" s="36"/>
      <c r="S186" s="36"/>
    </row>
    <row r="187" ht="15.75" customHeight="1">
      <c r="A187" s="33">
        <v>45205.63693429398</v>
      </c>
      <c r="B187" s="34" t="s">
        <v>534</v>
      </c>
      <c r="C187" s="34" t="s">
        <v>350</v>
      </c>
      <c r="D187" s="34" t="s">
        <v>535</v>
      </c>
      <c r="E187" s="34" t="s">
        <v>536</v>
      </c>
      <c r="F187" s="34">
        <v>1.0</v>
      </c>
      <c r="G187" s="34">
        <v>8.0</v>
      </c>
      <c r="H187" s="34" t="s">
        <v>29</v>
      </c>
      <c r="I187" s="34" t="s">
        <v>40</v>
      </c>
      <c r="J187" s="24"/>
      <c r="K187" s="34" t="s">
        <v>537</v>
      </c>
      <c r="L187" s="34" t="s">
        <v>538</v>
      </c>
      <c r="M187" s="35" t="s">
        <v>539</v>
      </c>
      <c r="N187" s="24"/>
      <c r="O187" s="34" t="s">
        <v>126</v>
      </c>
      <c r="P187" s="34">
        <v>8.0</v>
      </c>
      <c r="Q187" s="36"/>
      <c r="R187" s="36"/>
      <c r="S187" s="36"/>
    </row>
    <row r="188" ht="15.75" customHeight="1">
      <c r="A188" s="33">
        <v>45205.670375925925</v>
      </c>
      <c r="B188" s="34" t="s">
        <v>465</v>
      </c>
      <c r="C188" s="34" t="s">
        <v>419</v>
      </c>
      <c r="D188" s="34" t="s">
        <v>119</v>
      </c>
      <c r="E188" s="34" t="s">
        <v>540</v>
      </c>
      <c r="F188" s="34">
        <v>1.0</v>
      </c>
      <c r="G188" s="34">
        <v>10.0</v>
      </c>
      <c r="H188" s="34" t="s">
        <v>40</v>
      </c>
      <c r="I188" s="34" t="s">
        <v>40</v>
      </c>
      <c r="J188" s="37" t="s">
        <v>541</v>
      </c>
      <c r="L188" s="34" t="s">
        <v>103</v>
      </c>
      <c r="M188" s="37" t="s">
        <v>542</v>
      </c>
      <c r="N188" s="37" t="s">
        <v>543</v>
      </c>
      <c r="O188" s="34" t="s">
        <v>40</v>
      </c>
      <c r="P188" s="34">
        <v>8.0</v>
      </c>
      <c r="Q188" s="36"/>
      <c r="R188" s="36"/>
      <c r="S188" s="36"/>
    </row>
    <row r="189" ht="15.75" customHeight="1">
      <c r="A189" s="33">
        <v>45208.096119699076</v>
      </c>
      <c r="B189" s="34" t="s">
        <v>465</v>
      </c>
      <c r="C189" s="34" t="s">
        <v>544</v>
      </c>
      <c r="D189" s="34" t="s">
        <v>119</v>
      </c>
      <c r="E189" s="34" t="s">
        <v>473</v>
      </c>
      <c r="F189" s="34">
        <v>1.0</v>
      </c>
      <c r="G189" s="34">
        <v>18.0</v>
      </c>
      <c r="H189" s="34" t="s">
        <v>29</v>
      </c>
      <c r="I189" s="34" t="s">
        <v>40</v>
      </c>
      <c r="J189" s="24"/>
      <c r="K189" s="34" t="s">
        <v>545</v>
      </c>
      <c r="L189" s="34" t="s">
        <v>111</v>
      </c>
      <c r="M189" s="37" t="s">
        <v>210</v>
      </c>
      <c r="N189" s="37" t="s">
        <v>546</v>
      </c>
      <c r="O189" s="34" t="s">
        <v>40</v>
      </c>
      <c r="P189" s="34">
        <v>16.0</v>
      </c>
      <c r="Q189" s="36"/>
      <c r="R189" s="36"/>
      <c r="S189" s="36"/>
    </row>
    <row r="190" ht="15.75" customHeight="1">
      <c r="A190" s="33">
        <v>45209.67261930555</v>
      </c>
      <c r="B190" s="34" t="s">
        <v>2</v>
      </c>
      <c r="C190" s="34" t="s">
        <v>419</v>
      </c>
      <c r="D190" s="34" t="s">
        <v>27</v>
      </c>
      <c r="E190" s="34" t="s">
        <v>547</v>
      </c>
      <c r="F190" s="34">
        <v>2.0</v>
      </c>
      <c r="G190" s="34">
        <v>32.0</v>
      </c>
      <c r="H190" s="34" t="s">
        <v>29</v>
      </c>
      <c r="I190" s="34" t="s">
        <v>29</v>
      </c>
      <c r="J190" s="24"/>
      <c r="M190" s="24"/>
      <c r="N190" s="24"/>
      <c r="O190" s="34" t="s">
        <v>29</v>
      </c>
      <c r="P190" s="34">
        <v>16.0</v>
      </c>
      <c r="Q190" s="36"/>
      <c r="R190" s="36"/>
      <c r="S190" s="36"/>
    </row>
    <row r="191" ht="15.75" customHeight="1">
      <c r="A191" s="33">
        <v>45210.95434048611</v>
      </c>
      <c r="B191" s="34" t="s">
        <v>465</v>
      </c>
      <c r="C191" s="34" t="s">
        <v>419</v>
      </c>
      <c r="D191" s="34" t="s">
        <v>119</v>
      </c>
      <c r="E191" s="34" t="s">
        <v>120</v>
      </c>
      <c r="F191" s="34">
        <v>1.0</v>
      </c>
      <c r="G191" s="34">
        <v>10.0</v>
      </c>
      <c r="H191" s="34" t="s">
        <v>29</v>
      </c>
      <c r="I191" s="34" t="s">
        <v>40</v>
      </c>
      <c r="J191" s="37" t="s">
        <v>548</v>
      </c>
      <c r="L191" s="34" t="s">
        <v>103</v>
      </c>
      <c r="M191" s="37" t="s">
        <v>418</v>
      </c>
      <c r="N191" s="37" t="s">
        <v>549</v>
      </c>
      <c r="O191" s="34" t="s">
        <v>40</v>
      </c>
      <c r="P191" s="34">
        <v>8.0</v>
      </c>
      <c r="Q191" s="36"/>
      <c r="R191" s="36"/>
      <c r="S191" s="36"/>
    </row>
    <row r="192" ht="15.75" customHeight="1">
      <c r="A192" s="33">
        <v>45211.874187071764</v>
      </c>
      <c r="B192" s="34" t="s">
        <v>288</v>
      </c>
      <c r="C192" s="34" t="s">
        <v>419</v>
      </c>
      <c r="D192" s="34" t="s">
        <v>550</v>
      </c>
      <c r="E192" s="34" t="s">
        <v>456</v>
      </c>
      <c r="F192" s="34">
        <v>1.0</v>
      </c>
      <c r="G192" s="34">
        <v>18.0</v>
      </c>
      <c r="H192" s="34" t="s">
        <v>40</v>
      </c>
      <c r="I192" s="34" t="s">
        <v>29</v>
      </c>
      <c r="J192" s="37" t="s">
        <v>551</v>
      </c>
      <c r="K192" s="34" t="s">
        <v>552</v>
      </c>
      <c r="L192" s="34" t="s">
        <v>354</v>
      </c>
      <c r="M192" s="37" t="s">
        <v>553</v>
      </c>
      <c r="N192" s="24"/>
      <c r="O192" s="34" t="s">
        <v>40</v>
      </c>
      <c r="P192" s="34">
        <v>16.0</v>
      </c>
      <c r="Q192" s="36"/>
      <c r="R192" s="36"/>
      <c r="S192" s="36"/>
    </row>
    <row r="193" ht="15.75" customHeight="1">
      <c r="A193" s="33">
        <v>45213.73023340278</v>
      </c>
      <c r="B193" s="34" t="s">
        <v>288</v>
      </c>
      <c r="C193" s="34" t="s">
        <v>419</v>
      </c>
      <c r="D193" s="34" t="s">
        <v>38</v>
      </c>
      <c r="E193" s="34" t="s">
        <v>368</v>
      </c>
      <c r="F193" s="34">
        <v>1.0</v>
      </c>
      <c r="G193" s="34">
        <v>18.0</v>
      </c>
      <c r="H193" s="34" t="s">
        <v>40</v>
      </c>
      <c r="I193" s="34" t="s">
        <v>40</v>
      </c>
      <c r="J193" s="24"/>
      <c r="L193" s="34" t="s">
        <v>103</v>
      </c>
      <c r="M193" s="35" t="s">
        <v>122</v>
      </c>
      <c r="N193" s="24"/>
      <c r="O193" s="34" t="s">
        <v>40</v>
      </c>
      <c r="P193" s="34">
        <v>16.0</v>
      </c>
      <c r="Q193" s="36"/>
      <c r="R193" s="36"/>
      <c r="S193" s="36"/>
    </row>
    <row r="194" ht="15.75" customHeight="1">
      <c r="A194" s="33">
        <v>45216.64074145834</v>
      </c>
      <c r="B194" s="34" t="s">
        <v>288</v>
      </c>
      <c r="C194" s="34" t="s">
        <v>419</v>
      </c>
      <c r="D194" s="34" t="s">
        <v>554</v>
      </c>
      <c r="E194" s="34" t="s">
        <v>555</v>
      </c>
      <c r="F194" s="34">
        <v>1.0</v>
      </c>
      <c r="G194" s="34">
        <v>6.0</v>
      </c>
      <c r="H194" s="34" t="s">
        <v>29</v>
      </c>
      <c r="I194" s="34" t="s">
        <v>40</v>
      </c>
      <c r="J194" s="37" t="s">
        <v>556</v>
      </c>
      <c r="K194" s="34" t="s">
        <v>557</v>
      </c>
      <c r="L194" s="34" t="s">
        <v>366</v>
      </c>
      <c r="M194" s="24"/>
      <c r="N194" s="37" t="s">
        <v>558</v>
      </c>
      <c r="O194" s="34" t="s">
        <v>40</v>
      </c>
      <c r="P194" s="34">
        <v>4.0</v>
      </c>
      <c r="Q194" s="36"/>
      <c r="R194" s="36"/>
      <c r="S194" s="36"/>
    </row>
    <row r="195" ht="15.75" customHeight="1">
      <c r="A195" s="33">
        <v>45216.96667384259</v>
      </c>
      <c r="B195" s="34" t="s">
        <v>169</v>
      </c>
      <c r="C195" s="34" t="s">
        <v>419</v>
      </c>
      <c r="D195" s="34" t="s">
        <v>559</v>
      </c>
      <c r="E195" s="34" t="s">
        <v>48</v>
      </c>
      <c r="F195" s="34">
        <v>2.0</v>
      </c>
      <c r="G195" s="34">
        <v>32.0</v>
      </c>
      <c r="H195" s="34" t="s">
        <v>29</v>
      </c>
      <c r="I195" s="34" t="s">
        <v>40</v>
      </c>
      <c r="J195" s="37" t="s">
        <v>560</v>
      </c>
      <c r="K195" s="34" t="s">
        <v>561</v>
      </c>
      <c r="L195" s="34" t="s">
        <v>111</v>
      </c>
      <c r="M195" s="35" t="s">
        <v>116</v>
      </c>
      <c r="N195" s="37" t="s">
        <v>562</v>
      </c>
      <c r="O195" s="34" t="s">
        <v>29</v>
      </c>
      <c r="P195" s="34">
        <v>16.0</v>
      </c>
      <c r="Q195" s="36"/>
      <c r="R195" s="36"/>
      <c r="S195" s="36"/>
    </row>
    <row r="196" ht="15.75" customHeight="1">
      <c r="A196" s="33">
        <v>45217.76960770834</v>
      </c>
      <c r="B196" s="34" t="s">
        <v>36</v>
      </c>
      <c r="C196" s="34" t="s">
        <v>363</v>
      </c>
      <c r="D196" s="34" t="s">
        <v>38</v>
      </c>
      <c r="E196" s="34" t="s">
        <v>368</v>
      </c>
      <c r="F196" s="34">
        <v>1.0</v>
      </c>
      <c r="H196" s="34" t="s">
        <v>40</v>
      </c>
      <c r="J196" s="37" t="s">
        <v>563</v>
      </c>
      <c r="K196" s="34" t="s">
        <v>564</v>
      </c>
      <c r="M196" s="37" t="s">
        <v>210</v>
      </c>
      <c r="N196" s="24"/>
      <c r="P196" s="34">
        <v>16.0</v>
      </c>
      <c r="Q196" s="36"/>
      <c r="R196" s="36"/>
      <c r="S196" s="36"/>
    </row>
    <row r="197" ht="15.75" customHeight="1">
      <c r="A197" s="33">
        <v>45220.56192821759</v>
      </c>
      <c r="B197" s="34" t="s">
        <v>138</v>
      </c>
      <c r="C197" s="34" t="s">
        <v>419</v>
      </c>
      <c r="D197" s="34" t="s">
        <v>565</v>
      </c>
      <c r="E197" s="34" t="s">
        <v>566</v>
      </c>
      <c r="F197" s="34">
        <v>2.0</v>
      </c>
      <c r="G197" s="34">
        <v>32.0</v>
      </c>
      <c r="H197" s="34" t="s">
        <v>29</v>
      </c>
      <c r="I197" s="34" t="s">
        <v>40</v>
      </c>
      <c r="J197" s="37" t="s">
        <v>567</v>
      </c>
      <c r="L197" s="34" t="s">
        <v>111</v>
      </c>
      <c r="M197" s="35" t="s">
        <v>50</v>
      </c>
      <c r="N197" s="24"/>
      <c r="O197" s="34" t="s">
        <v>29</v>
      </c>
      <c r="P197" s="34">
        <v>16.0</v>
      </c>
      <c r="Q197" s="36"/>
      <c r="R197" s="36"/>
      <c r="S197" s="36"/>
    </row>
    <row r="198" ht="15.75" customHeight="1">
      <c r="A198" s="33">
        <v>45221.658099409724</v>
      </c>
      <c r="B198" s="34" t="s">
        <v>2</v>
      </c>
      <c r="C198" s="34" t="s">
        <v>419</v>
      </c>
      <c r="D198" s="34" t="s">
        <v>38</v>
      </c>
      <c r="E198" s="34" t="s">
        <v>153</v>
      </c>
      <c r="F198" s="34">
        <v>1.0</v>
      </c>
      <c r="G198" s="34">
        <v>12.0</v>
      </c>
      <c r="H198" s="34" t="s">
        <v>29</v>
      </c>
      <c r="I198" s="34" t="s">
        <v>40</v>
      </c>
      <c r="J198" s="24"/>
      <c r="M198" s="24"/>
      <c r="N198" s="24"/>
      <c r="O198" s="34" t="s">
        <v>40</v>
      </c>
      <c r="P198" s="34">
        <v>8.0</v>
      </c>
      <c r="Q198" s="36"/>
      <c r="R198" s="36"/>
      <c r="S198" s="36"/>
    </row>
    <row r="199" ht="15.75" customHeight="1">
      <c r="A199" s="33">
        <v>45225.84530975694</v>
      </c>
      <c r="B199" s="34" t="s">
        <v>568</v>
      </c>
      <c r="C199" s="34" t="s">
        <v>419</v>
      </c>
      <c r="D199" s="34" t="s">
        <v>119</v>
      </c>
      <c r="E199" s="34" t="s">
        <v>569</v>
      </c>
      <c r="F199" s="34">
        <v>3.0</v>
      </c>
      <c r="G199" s="34">
        <v>64.0</v>
      </c>
      <c r="H199" s="34" t="s">
        <v>29</v>
      </c>
      <c r="I199" s="34" t="s">
        <v>40</v>
      </c>
      <c r="J199" s="37"/>
      <c r="L199" s="34" t="s">
        <v>111</v>
      </c>
      <c r="M199" s="35" t="s">
        <v>570</v>
      </c>
      <c r="N199" s="24"/>
      <c r="O199" s="34" t="s">
        <v>29</v>
      </c>
      <c r="P199" s="34">
        <v>16.0</v>
      </c>
      <c r="Q199" s="36"/>
      <c r="R199" s="36"/>
      <c r="S199" s="36"/>
    </row>
    <row r="200" ht="15.75" customHeight="1">
      <c r="A200" s="33">
        <v>45228.766128773146</v>
      </c>
      <c r="B200" s="34" t="s">
        <v>288</v>
      </c>
      <c r="C200" s="34" t="s">
        <v>544</v>
      </c>
      <c r="D200" s="34" t="s">
        <v>38</v>
      </c>
      <c r="E200" s="34" t="s">
        <v>177</v>
      </c>
      <c r="F200" s="34">
        <v>1.0</v>
      </c>
      <c r="G200" s="34">
        <v>10.0</v>
      </c>
      <c r="H200" s="34" t="s">
        <v>29</v>
      </c>
      <c r="J200" s="24"/>
      <c r="L200" s="34" t="s">
        <v>103</v>
      </c>
      <c r="M200" s="35" t="s">
        <v>122</v>
      </c>
      <c r="N200" s="24"/>
      <c r="O200" s="34" t="s">
        <v>40</v>
      </c>
      <c r="P200" s="34">
        <v>8.0</v>
      </c>
      <c r="Q200" s="36"/>
      <c r="R200" s="36"/>
      <c r="S200" s="36"/>
    </row>
    <row r="201" ht="15.75" customHeight="1">
      <c r="A201" s="33">
        <v>45236.68553969907</v>
      </c>
      <c r="B201" s="34" t="s">
        <v>36</v>
      </c>
      <c r="C201" s="34" t="s">
        <v>419</v>
      </c>
      <c r="D201" s="34" t="s">
        <v>89</v>
      </c>
      <c r="E201" s="34" t="s">
        <v>571</v>
      </c>
      <c r="F201" s="34">
        <v>1.0</v>
      </c>
      <c r="G201" s="34">
        <v>8.0</v>
      </c>
      <c r="H201" s="34" t="s">
        <v>40</v>
      </c>
      <c r="I201" s="34" t="s">
        <v>40</v>
      </c>
      <c r="J201" s="37" t="s">
        <v>572</v>
      </c>
      <c r="K201" s="34" t="s">
        <v>573</v>
      </c>
      <c r="L201" s="34" t="s">
        <v>111</v>
      </c>
      <c r="M201" s="35" t="s">
        <v>574</v>
      </c>
      <c r="N201" s="24"/>
      <c r="O201" s="34" t="s">
        <v>40</v>
      </c>
      <c r="P201" s="34">
        <v>4.0</v>
      </c>
      <c r="Q201" s="36"/>
      <c r="R201" s="36"/>
      <c r="S201" s="36"/>
    </row>
    <row r="202" ht="15.75" customHeight="1">
      <c r="A202" s="33">
        <v>45242.89277899306</v>
      </c>
      <c r="B202" s="34" t="s">
        <v>2</v>
      </c>
      <c r="C202" s="34" t="s">
        <v>419</v>
      </c>
      <c r="D202" s="34" t="s">
        <v>107</v>
      </c>
      <c r="E202" s="34" t="s">
        <v>447</v>
      </c>
      <c r="F202" s="34">
        <v>2.0</v>
      </c>
      <c r="G202" s="34">
        <v>32.0</v>
      </c>
      <c r="H202" s="34" t="s">
        <v>29</v>
      </c>
      <c r="I202" s="34" t="s">
        <v>40</v>
      </c>
      <c r="J202" s="24"/>
      <c r="L202" s="34" t="s">
        <v>436</v>
      </c>
      <c r="M202" s="37" t="s">
        <v>575</v>
      </c>
      <c r="N202" s="37" t="s">
        <v>576</v>
      </c>
      <c r="O202" s="34" t="s">
        <v>40</v>
      </c>
      <c r="P202" s="34">
        <v>16.0</v>
      </c>
      <c r="Q202" s="36"/>
      <c r="R202" s="36"/>
      <c r="S202" s="36"/>
    </row>
    <row r="203" ht="15.75" customHeight="1">
      <c r="A203" s="33">
        <v>45243.87890119213</v>
      </c>
      <c r="B203" s="34" t="s">
        <v>169</v>
      </c>
      <c r="C203" s="34" t="s">
        <v>363</v>
      </c>
      <c r="D203" s="34" t="s">
        <v>27</v>
      </c>
      <c r="E203" s="34" t="s">
        <v>189</v>
      </c>
      <c r="F203" s="34">
        <v>1.0</v>
      </c>
      <c r="G203" s="34">
        <v>24.0</v>
      </c>
      <c r="H203" s="34" t="s">
        <v>29</v>
      </c>
      <c r="I203" s="34" t="s">
        <v>29</v>
      </c>
      <c r="J203" s="37" t="s">
        <v>577</v>
      </c>
      <c r="L203" s="34" t="s">
        <v>296</v>
      </c>
      <c r="M203" s="35" t="s">
        <v>297</v>
      </c>
      <c r="N203" s="37" t="s">
        <v>578</v>
      </c>
      <c r="O203" s="34" t="s">
        <v>29</v>
      </c>
      <c r="P203" s="34">
        <v>16.0</v>
      </c>
      <c r="Q203" s="36"/>
      <c r="R203" s="36"/>
      <c r="S203" s="36"/>
    </row>
    <row r="204" ht="15.75" customHeight="1">
      <c r="A204" s="33">
        <v>45245.524912673616</v>
      </c>
      <c r="B204" s="34" t="s">
        <v>465</v>
      </c>
      <c r="C204" s="34" t="s">
        <v>419</v>
      </c>
      <c r="D204" s="34" t="s">
        <v>579</v>
      </c>
      <c r="E204" s="34" t="s">
        <v>149</v>
      </c>
      <c r="F204" s="34">
        <v>1.0</v>
      </c>
      <c r="G204" s="34">
        <v>18.0</v>
      </c>
      <c r="H204" s="34" t="s">
        <v>40</v>
      </c>
      <c r="J204" s="24"/>
      <c r="K204" s="34" t="s">
        <v>580</v>
      </c>
      <c r="L204" s="34" t="s">
        <v>103</v>
      </c>
      <c r="M204" s="35" t="s">
        <v>581</v>
      </c>
      <c r="N204" s="24"/>
      <c r="O204" s="34" t="s">
        <v>40</v>
      </c>
      <c r="P204" s="34">
        <v>16.0</v>
      </c>
      <c r="Q204" s="36"/>
      <c r="R204" s="36"/>
      <c r="S204" s="36"/>
    </row>
    <row r="205" ht="15.75" customHeight="1">
      <c r="A205" s="33">
        <v>45245.56564850695</v>
      </c>
      <c r="B205" s="34" t="s">
        <v>138</v>
      </c>
      <c r="C205" s="34" t="s">
        <v>363</v>
      </c>
      <c r="D205" s="34" t="s">
        <v>38</v>
      </c>
      <c r="E205" s="34" t="s">
        <v>582</v>
      </c>
      <c r="F205" s="34">
        <v>2.0</v>
      </c>
      <c r="G205" s="34">
        <v>32.0</v>
      </c>
      <c r="H205" s="34" t="s">
        <v>29</v>
      </c>
      <c r="I205" s="34" t="s">
        <v>40</v>
      </c>
      <c r="J205" s="37" t="s">
        <v>583</v>
      </c>
      <c r="K205" s="34" t="s">
        <v>584</v>
      </c>
      <c r="L205" s="34" t="s">
        <v>585</v>
      </c>
      <c r="M205" s="38" t="s">
        <v>586</v>
      </c>
      <c r="N205" s="24"/>
      <c r="P205" s="34">
        <v>16.0</v>
      </c>
      <c r="Q205" s="36"/>
      <c r="R205" s="36"/>
      <c r="S205" s="36"/>
    </row>
    <row r="206" ht="15.75" customHeight="1">
      <c r="A206" s="33">
        <v>45245.637451030096</v>
      </c>
      <c r="B206" s="34" t="s">
        <v>36</v>
      </c>
      <c r="C206" s="34" t="s">
        <v>419</v>
      </c>
      <c r="D206" s="34" t="s">
        <v>579</v>
      </c>
      <c r="E206" s="34" t="s">
        <v>149</v>
      </c>
      <c r="F206" s="34">
        <v>1.0</v>
      </c>
      <c r="G206" s="34">
        <v>20.0</v>
      </c>
      <c r="H206" s="34" t="s">
        <v>40</v>
      </c>
      <c r="J206" s="24"/>
      <c r="K206" s="34" t="s">
        <v>580</v>
      </c>
      <c r="L206" s="34" t="s">
        <v>103</v>
      </c>
      <c r="M206" s="35" t="s">
        <v>581</v>
      </c>
      <c r="N206" s="24"/>
      <c r="O206" s="34" t="s">
        <v>40</v>
      </c>
      <c r="P206" s="34">
        <v>16.0</v>
      </c>
      <c r="Q206" s="36"/>
      <c r="R206" s="36"/>
      <c r="S206" s="36"/>
    </row>
    <row r="207" ht="15.75" customHeight="1">
      <c r="A207" s="33">
        <v>45245.63851284722</v>
      </c>
      <c r="B207" s="34" t="s">
        <v>36</v>
      </c>
      <c r="C207" s="34" t="s">
        <v>419</v>
      </c>
      <c r="D207" s="34" t="s">
        <v>101</v>
      </c>
      <c r="E207" s="34" t="s">
        <v>587</v>
      </c>
      <c r="F207" s="34">
        <v>1.0</v>
      </c>
      <c r="G207" s="34">
        <v>12.0</v>
      </c>
      <c r="H207" s="34" t="s">
        <v>29</v>
      </c>
      <c r="I207" s="34" t="s">
        <v>40</v>
      </c>
      <c r="J207" s="24"/>
      <c r="K207" s="34" t="s">
        <v>580</v>
      </c>
      <c r="M207" s="24"/>
      <c r="N207" s="24"/>
      <c r="O207" s="34" t="s">
        <v>40</v>
      </c>
      <c r="P207" s="34">
        <v>8.0</v>
      </c>
      <c r="Q207" s="36"/>
      <c r="R207" s="36"/>
      <c r="S207" s="36"/>
    </row>
    <row r="208" ht="15.75" customHeight="1">
      <c r="A208" s="33">
        <v>45245.639553761575</v>
      </c>
      <c r="B208" s="34" t="s">
        <v>465</v>
      </c>
      <c r="C208" s="34" t="s">
        <v>419</v>
      </c>
      <c r="D208" s="34" t="s">
        <v>101</v>
      </c>
      <c r="E208" s="34" t="s">
        <v>587</v>
      </c>
      <c r="F208" s="34">
        <v>1.0</v>
      </c>
      <c r="G208" s="34">
        <v>10.0</v>
      </c>
      <c r="H208" s="34" t="s">
        <v>29</v>
      </c>
      <c r="J208" s="24"/>
      <c r="K208" s="34" t="s">
        <v>580</v>
      </c>
      <c r="M208" s="24"/>
      <c r="N208" s="24"/>
      <c r="O208" s="34" t="s">
        <v>40</v>
      </c>
      <c r="P208" s="34">
        <v>8.0</v>
      </c>
      <c r="Q208" s="36"/>
      <c r="R208" s="36"/>
      <c r="S208" s="36"/>
    </row>
    <row r="209" ht="15.75" customHeight="1">
      <c r="A209" s="33">
        <v>45245.720668090275</v>
      </c>
      <c r="B209" s="34" t="s">
        <v>2</v>
      </c>
      <c r="C209" s="34" t="s">
        <v>419</v>
      </c>
      <c r="D209" s="34" t="s">
        <v>588</v>
      </c>
      <c r="E209" s="34" t="s">
        <v>589</v>
      </c>
      <c r="F209" s="34">
        <v>2.0</v>
      </c>
      <c r="G209" s="34">
        <v>32.0</v>
      </c>
      <c r="H209" s="34" t="s">
        <v>29</v>
      </c>
      <c r="I209" s="34" t="s">
        <v>40</v>
      </c>
      <c r="J209" s="24"/>
      <c r="L209" s="34" t="s">
        <v>436</v>
      </c>
      <c r="M209" s="35" t="s">
        <v>590</v>
      </c>
      <c r="N209" s="37" t="s">
        <v>591</v>
      </c>
      <c r="O209" s="34" t="s">
        <v>40</v>
      </c>
      <c r="P209" s="34">
        <v>16.0</v>
      </c>
      <c r="Q209" s="36"/>
      <c r="R209" s="36"/>
      <c r="S209" s="36"/>
    </row>
    <row r="210" ht="15.75" customHeight="1">
      <c r="A210" s="33">
        <v>45246.44018986111</v>
      </c>
      <c r="B210" s="34" t="s">
        <v>465</v>
      </c>
      <c r="C210" s="34" t="s">
        <v>419</v>
      </c>
      <c r="D210" s="34" t="s">
        <v>119</v>
      </c>
      <c r="E210" s="34" t="s">
        <v>592</v>
      </c>
      <c r="F210" s="34">
        <v>1.0</v>
      </c>
      <c r="G210" s="34">
        <v>6.0</v>
      </c>
      <c r="H210" s="34" t="s">
        <v>29</v>
      </c>
      <c r="I210" s="34" t="s">
        <v>40</v>
      </c>
      <c r="J210" s="24"/>
      <c r="K210" s="34" t="s">
        <v>580</v>
      </c>
      <c r="M210" s="24"/>
      <c r="N210" s="24"/>
      <c r="O210" s="34" t="s">
        <v>40</v>
      </c>
      <c r="P210" s="34">
        <v>4.0</v>
      </c>
      <c r="Q210" s="36"/>
      <c r="R210" s="36"/>
      <c r="S210" s="36"/>
    </row>
    <row r="211" ht="15.75" customHeight="1">
      <c r="A211" s="33">
        <v>45247.76609608796</v>
      </c>
      <c r="B211" s="34" t="s">
        <v>288</v>
      </c>
      <c r="C211" s="34" t="s">
        <v>419</v>
      </c>
      <c r="D211" s="34" t="s">
        <v>38</v>
      </c>
      <c r="E211" s="34" t="s">
        <v>177</v>
      </c>
      <c r="F211" s="34">
        <v>1.0</v>
      </c>
      <c r="G211" s="34">
        <v>10.0</v>
      </c>
      <c r="H211" s="34" t="s">
        <v>29</v>
      </c>
      <c r="I211" s="34" t="s">
        <v>40</v>
      </c>
      <c r="J211" s="24"/>
      <c r="K211" s="34" t="s">
        <v>593</v>
      </c>
      <c r="L211" s="34" t="s">
        <v>286</v>
      </c>
      <c r="M211" s="35" t="s">
        <v>594</v>
      </c>
      <c r="N211" s="24"/>
      <c r="O211" s="34" t="s">
        <v>40</v>
      </c>
      <c r="P211" s="34">
        <v>8.0</v>
      </c>
      <c r="Q211" s="36"/>
      <c r="R211" s="36"/>
      <c r="S211" s="36"/>
    </row>
    <row r="212" ht="15.75" customHeight="1">
      <c r="A212" s="33">
        <v>45248.32223518519</v>
      </c>
      <c r="B212" s="34" t="s">
        <v>2</v>
      </c>
      <c r="C212" s="34" t="s">
        <v>595</v>
      </c>
      <c r="D212" s="34" t="s">
        <v>27</v>
      </c>
      <c r="E212" s="34" t="s">
        <v>596</v>
      </c>
      <c r="F212" s="34">
        <v>2.0</v>
      </c>
      <c r="G212" s="34">
        <v>16.0</v>
      </c>
      <c r="H212" s="34" t="s">
        <v>29</v>
      </c>
      <c r="I212" s="34" t="s">
        <v>29</v>
      </c>
      <c r="J212" s="24"/>
      <c r="L212" s="34" t="s">
        <v>296</v>
      </c>
      <c r="M212" s="37" t="s">
        <v>210</v>
      </c>
      <c r="N212" s="37" t="s">
        <v>597</v>
      </c>
      <c r="O212" s="34" t="s">
        <v>40</v>
      </c>
      <c r="P212" s="34">
        <v>2.0</v>
      </c>
      <c r="Q212" s="36"/>
      <c r="R212" s="36"/>
      <c r="S212" s="36"/>
    </row>
    <row r="213" ht="15.75" customHeight="1">
      <c r="A213" s="33">
        <v>45248.93344241898</v>
      </c>
      <c r="B213" s="34" t="s">
        <v>124</v>
      </c>
      <c r="C213" s="34" t="s">
        <v>598</v>
      </c>
      <c r="D213" s="34" t="s">
        <v>38</v>
      </c>
      <c r="E213" s="34" t="s">
        <v>599</v>
      </c>
      <c r="F213" s="34">
        <v>1.0</v>
      </c>
      <c r="G213" s="34">
        <v>18.0</v>
      </c>
      <c r="H213" s="34" t="s">
        <v>29</v>
      </c>
      <c r="I213" s="34" t="s">
        <v>40</v>
      </c>
      <c r="J213" s="24"/>
      <c r="L213" s="34" t="s">
        <v>140</v>
      </c>
      <c r="M213" s="37" t="s">
        <v>600</v>
      </c>
      <c r="N213" s="24"/>
      <c r="O213" s="34" t="s">
        <v>126</v>
      </c>
      <c r="P213" s="34">
        <v>16.0</v>
      </c>
      <c r="Q213" s="36"/>
      <c r="R213" s="36"/>
      <c r="S213" s="36"/>
    </row>
    <row r="214" ht="15.75" customHeight="1">
      <c r="A214" s="33">
        <v>45249.19166200231</v>
      </c>
      <c r="B214" s="34" t="s">
        <v>36</v>
      </c>
      <c r="C214" s="34" t="s">
        <v>419</v>
      </c>
      <c r="D214" s="34" t="s">
        <v>71</v>
      </c>
      <c r="E214" s="34" t="s">
        <v>491</v>
      </c>
      <c r="F214" s="34">
        <v>1.0</v>
      </c>
      <c r="G214" s="34">
        <v>20.0</v>
      </c>
      <c r="H214" s="34" t="s">
        <v>29</v>
      </c>
      <c r="I214" s="34" t="s">
        <v>40</v>
      </c>
      <c r="J214" s="24"/>
      <c r="L214" s="34" t="s">
        <v>111</v>
      </c>
      <c r="M214" s="35" t="s">
        <v>116</v>
      </c>
      <c r="N214" s="24"/>
      <c r="O214" s="34" t="s">
        <v>40</v>
      </c>
      <c r="P214" s="34">
        <v>16.0</v>
      </c>
      <c r="Q214" s="36"/>
      <c r="R214" s="36"/>
      <c r="S214" s="36"/>
    </row>
    <row r="215" ht="15.75" customHeight="1">
      <c r="A215" s="33">
        <v>45249.67472909723</v>
      </c>
      <c r="B215" s="34" t="s">
        <v>36</v>
      </c>
      <c r="D215" s="34" t="s">
        <v>38</v>
      </c>
      <c r="E215" s="34" t="s">
        <v>57</v>
      </c>
      <c r="H215" s="34" t="s">
        <v>29</v>
      </c>
      <c r="I215" s="34" t="s">
        <v>29</v>
      </c>
      <c r="J215" s="24"/>
      <c r="M215" s="24"/>
      <c r="N215" s="24"/>
    </row>
    <row r="216" ht="15.75" customHeight="1">
      <c r="A216" s="33">
        <v>45251.912807719906</v>
      </c>
      <c r="B216" s="34" t="s">
        <v>465</v>
      </c>
      <c r="C216" s="34" t="s">
        <v>598</v>
      </c>
      <c r="D216" s="34" t="s">
        <v>27</v>
      </c>
      <c r="E216" s="34" t="s">
        <v>157</v>
      </c>
      <c r="F216" s="34">
        <v>1.0</v>
      </c>
      <c r="G216" s="34">
        <v>18.0</v>
      </c>
      <c r="H216" s="34" t="s">
        <v>40</v>
      </c>
      <c r="J216" s="24"/>
      <c r="M216" s="24"/>
      <c r="N216" s="24"/>
      <c r="O216" s="34" t="s">
        <v>40</v>
      </c>
      <c r="P216" s="34">
        <v>16.0</v>
      </c>
      <c r="Q216" s="36"/>
      <c r="R216" s="36"/>
      <c r="S216" s="36"/>
    </row>
    <row r="217" ht="15.75" customHeight="1">
      <c r="A217" s="33">
        <v>45251.91407716435</v>
      </c>
      <c r="B217" s="34" t="s">
        <v>465</v>
      </c>
      <c r="C217" s="34" t="s">
        <v>598</v>
      </c>
      <c r="D217" s="34" t="s">
        <v>27</v>
      </c>
      <c r="E217" s="34" t="s">
        <v>456</v>
      </c>
      <c r="F217" s="34">
        <v>1.0</v>
      </c>
      <c r="G217" s="34">
        <v>18.0</v>
      </c>
      <c r="H217" s="34" t="s">
        <v>29</v>
      </c>
      <c r="I217" s="34" t="s">
        <v>29</v>
      </c>
      <c r="J217" s="37" t="s">
        <v>601</v>
      </c>
      <c r="M217" s="24"/>
      <c r="N217" s="24"/>
      <c r="O217" s="34" t="s">
        <v>40</v>
      </c>
      <c r="P217" s="34">
        <v>16.0</v>
      </c>
      <c r="Q217" s="36"/>
      <c r="R217" s="36"/>
      <c r="S217" s="36"/>
    </row>
    <row r="218" ht="15.75" customHeight="1">
      <c r="A218" s="33">
        <v>45251.914894444446</v>
      </c>
      <c r="B218" s="34" t="s">
        <v>465</v>
      </c>
      <c r="C218" s="34" t="s">
        <v>598</v>
      </c>
      <c r="D218" s="34" t="s">
        <v>27</v>
      </c>
      <c r="E218" s="34" t="s">
        <v>212</v>
      </c>
      <c r="F218" s="34">
        <v>1.0</v>
      </c>
      <c r="G218" s="34">
        <v>18.0</v>
      </c>
      <c r="H218" s="34" t="s">
        <v>29</v>
      </c>
      <c r="I218" s="34" t="s">
        <v>29</v>
      </c>
      <c r="J218" s="24"/>
      <c r="M218" s="24"/>
      <c r="N218" s="24"/>
      <c r="O218" s="34" t="s">
        <v>40</v>
      </c>
      <c r="P218" s="34">
        <v>16.0</v>
      </c>
      <c r="Q218" s="36"/>
      <c r="R218" s="36"/>
      <c r="S218" s="36"/>
    </row>
    <row r="219" ht="15.75" customHeight="1">
      <c r="A219" s="33">
        <v>45252.89603320602</v>
      </c>
      <c r="B219" s="34" t="s">
        <v>2</v>
      </c>
      <c r="C219" s="34" t="s">
        <v>598</v>
      </c>
      <c r="D219" s="34" t="s">
        <v>27</v>
      </c>
      <c r="E219" s="34" t="s">
        <v>511</v>
      </c>
      <c r="F219" s="34">
        <v>2.0</v>
      </c>
      <c r="G219" s="34">
        <v>32.0</v>
      </c>
      <c r="H219" s="34" t="s">
        <v>29</v>
      </c>
      <c r="I219" s="34" t="s">
        <v>40</v>
      </c>
      <c r="J219" s="24"/>
      <c r="K219" s="34" t="s">
        <v>602</v>
      </c>
      <c r="L219" s="34" t="s">
        <v>103</v>
      </c>
      <c r="M219" s="38" t="s">
        <v>603</v>
      </c>
      <c r="N219" s="37" t="s">
        <v>604</v>
      </c>
      <c r="O219" s="34" t="s">
        <v>29</v>
      </c>
      <c r="P219" s="34">
        <v>16.0</v>
      </c>
      <c r="Q219" s="36"/>
      <c r="R219" s="36"/>
      <c r="S219" s="36"/>
    </row>
    <row r="220" ht="15.75" customHeight="1">
      <c r="A220" s="33">
        <v>45253.16666894676</v>
      </c>
      <c r="B220" s="34" t="s">
        <v>124</v>
      </c>
      <c r="C220" s="34" t="s">
        <v>419</v>
      </c>
      <c r="D220" s="34" t="s">
        <v>71</v>
      </c>
      <c r="E220" s="34" t="s">
        <v>491</v>
      </c>
      <c r="F220" s="34">
        <v>1.0</v>
      </c>
      <c r="G220" s="34">
        <v>18.0</v>
      </c>
      <c r="H220" s="34" t="s">
        <v>29</v>
      </c>
      <c r="I220" s="34" t="s">
        <v>40</v>
      </c>
      <c r="J220" s="37" t="s">
        <v>605</v>
      </c>
      <c r="L220" s="34" t="s">
        <v>111</v>
      </c>
      <c r="M220" s="35" t="s">
        <v>50</v>
      </c>
      <c r="N220" s="24"/>
      <c r="O220" s="34" t="s">
        <v>40</v>
      </c>
      <c r="P220" s="34">
        <v>16.0</v>
      </c>
      <c r="Q220" s="36"/>
      <c r="R220" s="36"/>
      <c r="S220" s="36"/>
    </row>
    <row r="221" ht="15.75" customHeight="1">
      <c r="A221" s="33">
        <v>45254.27686648148</v>
      </c>
      <c r="B221" s="34" t="s">
        <v>465</v>
      </c>
      <c r="C221" s="34" t="s">
        <v>595</v>
      </c>
      <c r="D221" s="34" t="s">
        <v>358</v>
      </c>
      <c r="E221" s="34" t="s">
        <v>606</v>
      </c>
      <c r="F221" s="34">
        <v>1.0</v>
      </c>
      <c r="G221" s="34">
        <v>18.0</v>
      </c>
      <c r="H221" s="34" t="s">
        <v>29</v>
      </c>
      <c r="I221" s="34" t="s">
        <v>40</v>
      </c>
      <c r="J221" s="24"/>
      <c r="K221" s="34" t="s">
        <v>607</v>
      </c>
      <c r="L221" s="34" t="s">
        <v>608</v>
      </c>
      <c r="M221" s="37" t="s">
        <v>609</v>
      </c>
      <c r="N221" s="24"/>
      <c r="O221" s="34" t="s">
        <v>126</v>
      </c>
      <c r="P221" s="34">
        <v>16.0</v>
      </c>
      <c r="Q221" s="36"/>
      <c r="R221" s="36"/>
      <c r="S221" s="36"/>
    </row>
    <row r="222" ht="15.75" customHeight="1">
      <c r="A222" s="33">
        <v>45258.38917912037</v>
      </c>
      <c r="B222" s="34" t="s">
        <v>42</v>
      </c>
      <c r="C222" s="34" t="s">
        <v>26</v>
      </c>
      <c r="D222" s="34" t="s">
        <v>101</v>
      </c>
      <c r="E222" s="34" t="s">
        <v>102</v>
      </c>
      <c r="F222" s="34">
        <v>2.0</v>
      </c>
      <c r="G222" s="34">
        <v>32.0</v>
      </c>
      <c r="H222" s="34" t="s">
        <v>29</v>
      </c>
      <c r="I222" s="34" t="s">
        <v>40</v>
      </c>
      <c r="J222" s="24"/>
      <c r="M222" s="24"/>
      <c r="N222" s="24"/>
      <c r="O222" s="34" t="s">
        <v>29</v>
      </c>
      <c r="P222" s="34">
        <v>16.0</v>
      </c>
      <c r="Q222" s="36"/>
      <c r="R222" s="36"/>
      <c r="S222" s="36"/>
    </row>
    <row r="223" ht="15.75" customHeight="1">
      <c r="A223" s="33">
        <v>45259.017937916666</v>
      </c>
      <c r="B223" s="34" t="s">
        <v>465</v>
      </c>
      <c r="C223" s="34" t="s">
        <v>26</v>
      </c>
      <c r="D223" s="34" t="s">
        <v>71</v>
      </c>
      <c r="E223" s="34" t="s">
        <v>345</v>
      </c>
      <c r="F223" s="34">
        <v>1.0</v>
      </c>
      <c r="G223" s="34">
        <v>18.0</v>
      </c>
      <c r="H223" s="34" t="s">
        <v>29</v>
      </c>
      <c r="I223" s="34" t="s">
        <v>40</v>
      </c>
      <c r="J223" s="24"/>
      <c r="M223" s="24"/>
      <c r="N223" s="24"/>
      <c r="O223" s="34" t="s">
        <v>126</v>
      </c>
      <c r="P223" s="34">
        <v>16.0</v>
      </c>
      <c r="Q223" s="36"/>
      <c r="R223" s="36"/>
      <c r="S223" s="36"/>
    </row>
    <row r="224" ht="15.75" customHeight="1">
      <c r="A224" s="33">
        <v>45259.1293478588</v>
      </c>
      <c r="B224" s="34" t="s">
        <v>465</v>
      </c>
      <c r="C224" s="34" t="s">
        <v>26</v>
      </c>
      <c r="D224" s="34" t="s">
        <v>119</v>
      </c>
      <c r="E224" s="34" t="s">
        <v>120</v>
      </c>
      <c r="F224" s="34">
        <v>1.0</v>
      </c>
      <c r="G224" s="34">
        <v>10.0</v>
      </c>
      <c r="H224" s="34" t="s">
        <v>40</v>
      </c>
      <c r="I224" s="34" t="s">
        <v>40</v>
      </c>
      <c r="J224" s="24"/>
      <c r="M224" s="24"/>
      <c r="N224" s="24"/>
      <c r="O224" s="34" t="s">
        <v>126</v>
      </c>
      <c r="P224" s="34">
        <v>8.0</v>
      </c>
      <c r="Q224" s="36"/>
      <c r="R224" s="36"/>
      <c r="S224" s="36"/>
    </row>
    <row r="225" ht="15.75" customHeight="1">
      <c r="A225" s="33">
        <v>45260.41418965277</v>
      </c>
      <c r="B225" s="34" t="s">
        <v>99</v>
      </c>
      <c r="C225" s="34" t="s">
        <v>26</v>
      </c>
      <c r="D225" s="34" t="s">
        <v>101</v>
      </c>
      <c r="E225" s="34" t="s">
        <v>610</v>
      </c>
      <c r="F225" s="34">
        <v>2.0</v>
      </c>
      <c r="G225" s="34">
        <v>32.0</v>
      </c>
      <c r="H225" s="34" t="s">
        <v>29</v>
      </c>
      <c r="I225" s="34" t="s">
        <v>40</v>
      </c>
      <c r="J225" s="24"/>
      <c r="K225" s="34" t="s">
        <v>607</v>
      </c>
      <c r="L225" s="34" t="s">
        <v>611</v>
      </c>
      <c r="M225" s="37" t="s">
        <v>612</v>
      </c>
      <c r="N225" s="37" t="s">
        <v>613</v>
      </c>
      <c r="O225" s="34" t="s">
        <v>29</v>
      </c>
      <c r="P225" s="34">
        <v>16.0</v>
      </c>
      <c r="Q225" s="36"/>
      <c r="R225" s="36"/>
      <c r="S225" s="36"/>
    </row>
    <row r="226" ht="15.75" customHeight="1">
      <c r="A226" s="33">
        <v>45260.447082604165</v>
      </c>
      <c r="B226" s="34" t="s">
        <v>99</v>
      </c>
      <c r="C226" s="34" t="s">
        <v>26</v>
      </c>
      <c r="D226" s="34" t="s">
        <v>101</v>
      </c>
      <c r="E226" s="34" t="s">
        <v>610</v>
      </c>
      <c r="F226" s="34">
        <v>2.0</v>
      </c>
      <c r="G226" s="34">
        <v>32.0</v>
      </c>
      <c r="H226" s="34" t="s">
        <v>29</v>
      </c>
      <c r="I226" s="34" t="s">
        <v>40</v>
      </c>
      <c r="J226" s="24"/>
      <c r="K226" s="34" t="s">
        <v>607</v>
      </c>
      <c r="L226" s="34" t="s">
        <v>611</v>
      </c>
      <c r="M226" s="37" t="s">
        <v>612</v>
      </c>
      <c r="N226" s="37" t="s">
        <v>614</v>
      </c>
      <c r="O226" s="34" t="s">
        <v>29</v>
      </c>
      <c r="P226" s="34">
        <v>16.0</v>
      </c>
      <c r="Q226" s="36"/>
      <c r="R226" s="36"/>
      <c r="S226" s="36"/>
    </row>
    <row r="227" ht="15.75" customHeight="1">
      <c r="A227" s="33">
        <v>45260.80821991898</v>
      </c>
      <c r="B227" s="34" t="s">
        <v>2</v>
      </c>
      <c r="C227" s="34" t="s">
        <v>26</v>
      </c>
      <c r="D227" s="34" t="s">
        <v>38</v>
      </c>
      <c r="E227" s="34" t="s">
        <v>389</v>
      </c>
      <c r="F227" s="34">
        <v>2.0</v>
      </c>
      <c r="G227" s="34">
        <v>32.0</v>
      </c>
      <c r="H227" s="34" t="s">
        <v>29</v>
      </c>
      <c r="I227" s="34" t="s">
        <v>40</v>
      </c>
      <c r="J227" s="24"/>
      <c r="L227" s="34" t="s">
        <v>140</v>
      </c>
      <c r="M227" s="35" t="s">
        <v>615</v>
      </c>
      <c r="N227" s="24"/>
      <c r="O227" s="34" t="s">
        <v>40</v>
      </c>
      <c r="P227" s="34">
        <v>16.0</v>
      </c>
      <c r="Q227" s="36"/>
      <c r="R227" s="36"/>
      <c r="S227" s="36"/>
    </row>
    <row r="228" ht="15.75" customHeight="1">
      <c r="A228" s="33">
        <v>45261.41284837963</v>
      </c>
      <c r="B228" s="34" t="s">
        <v>2</v>
      </c>
      <c r="C228" s="34" t="s">
        <v>26</v>
      </c>
      <c r="D228" s="34" t="s">
        <v>27</v>
      </c>
      <c r="E228" s="34" t="s">
        <v>28</v>
      </c>
      <c r="F228" s="34">
        <v>1.0</v>
      </c>
      <c r="G228" s="34">
        <v>20.0</v>
      </c>
      <c r="H228" s="34" t="s">
        <v>29</v>
      </c>
      <c r="I228" s="34" t="s">
        <v>40</v>
      </c>
      <c r="J228" s="24"/>
      <c r="L228" s="34" t="s">
        <v>354</v>
      </c>
      <c r="M228" s="24"/>
      <c r="N228" s="37" t="s">
        <v>616</v>
      </c>
      <c r="O228" s="34" t="s">
        <v>29</v>
      </c>
      <c r="P228" s="34">
        <v>16.0</v>
      </c>
      <c r="Q228" s="36"/>
      <c r="R228" s="36"/>
      <c r="S228" s="36"/>
    </row>
    <row r="229" ht="15.75" customHeight="1">
      <c r="A229" s="33">
        <v>45262.88660149305</v>
      </c>
      <c r="B229" s="34" t="s">
        <v>42</v>
      </c>
      <c r="C229" s="34" t="s">
        <v>26</v>
      </c>
      <c r="D229" s="34" t="s">
        <v>107</v>
      </c>
      <c r="E229" s="34" t="s">
        <v>617</v>
      </c>
      <c r="F229" s="34">
        <v>2.0</v>
      </c>
      <c r="G229" s="34">
        <v>16.0</v>
      </c>
      <c r="H229" s="34" t="s">
        <v>29</v>
      </c>
      <c r="I229" s="34" t="s">
        <v>40</v>
      </c>
      <c r="J229" s="24"/>
      <c r="K229" s="34" t="s">
        <v>618</v>
      </c>
      <c r="L229" s="34" t="s">
        <v>31</v>
      </c>
      <c r="M229" s="37" t="s">
        <v>619</v>
      </c>
      <c r="N229" s="24"/>
      <c r="O229" s="34" t="s">
        <v>40</v>
      </c>
      <c r="P229" s="34">
        <v>8.0</v>
      </c>
      <c r="Q229" s="36"/>
      <c r="R229" s="36"/>
      <c r="S229" s="36"/>
    </row>
    <row r="230" ht="15.75" customHeight="1">
      <c r="A230" s="33">
        <v>45263.20108539352</v>
      </c>
      <c r="B230" s="34" t="s">
        <v>288</v>
      </c>
      <c r="C230" s="34" t="s">
        <v>26</v>
      </c>
      <c r="D230" s="34" t="s">
        <v>27</v>
      </c>
      <c r="E230" s="34" t="s">
        <v>620</v>
      </c>
      <c r="F230" s="34">
        <v>1.0</v>
      </c>
      <c r="G230" s="34">
        <v>6.0</v>
      </c>
      <c r="H230" s="34" t="s">
        <v>29</v>
      </c>
      <c r="I230" s="34" t="s">
        <v>40</v>
      </c>
      <c r="J230" s="24"/>
      <c r="K230" s="34" t="s">
        <v>621</v>
      </c>
      <c r="L230" s="34" t="s">
        <v>622</v>
      </c>
      <c r="M230" s="37" t="s">
        <v>623</v>
      </c>
      <c r="N230" s="24"/>
      <c r="O230" s="34" t="s">
        <v>40</v>
      </c>
      <c r="P230" s="34">
        <v>4.0</v>
      </c>
      <c r="Q230" s="36"/>
      <c r="R230" s="36"/>
      <c r="S230" s="36"/>
    </row>
    <row r="231" ht="15.75" customHeight="1">
      <c r="A231" s="33">
        <v>45266.053913587966</v>
      </c>
      <c r="B231" s="34" t="s">
        <v>2</v>
      </c>
      <c r="C231" s="34" t="s">
        <v>26</v>
      </c>
      <c r="D231" s="34" t="s">
        <v>47</v>
      </c>
      <c r="E231" s="34" t="s">
        <v>165</v>
      </c>
      <c r="F231" s="34">
        <v>2.0</v>
      </c>
      <c r="G231" s="34">
        <v>32.0</v>
      </c>
      <c r="H231" s="34" t="s">
        <v>29</v>
      </c>
      <c r="I231" s="34" t="s">
        <v>40</v>
      </c>
      <c r="J231" s="24"/>
      <c r="K231" s="34" t="s">
        <v>624</v>
      </c>
      <c r="L231" s="34" t="s">
        <v>111</v>
      </c>
      <c r="M231" s="35" t="s">
        <v>50</v>
      </c>
      <c r="N231" s="24"/>
      <c r="O231" s="34" t="s">
        <v>29</v>
      </c>
      <c r="P231" s="34">
        <v>16.0</v>
      </c>
      <c r="Q231" s="36"/>
      <c r="R231" s="36"/>
      <c r="S231" s="36"/>
    </row>
    <row r="232" ht="15.75" customHeight="1">
      <c r="A232" s="33">
        <v>45266.09054006945</v>
      </c>
      <c r="B232" s="34" t="s">
        <v>288</v>
      </c>
      <c r="C232" s="34" t="s">
        <v>26</v>
      </c>
      <c r="D232" s="34" t="s">
        <v>119</v>
      </c>
      <c r="E232" s="34" t="s">
        <v>625</v>
      </c>
      <c r="F232" s="34">
        <v>1.0</v>
      </c>
      <c r="G232" s="34">
        <v>18.0</v>
      </c>
      <c r="H232" s="34" t="s">
        <v>29</v>
      </c>
      <c r="I232" s="34" t="s">
        <v>40</v>
      </c>
      <c r="J232" s="24"/>
      <c r="L232" s="34" t="s">
        <v>611</v>
      </c>
      <c r="M232" s="24"/>
      <c r="N232" s="24"/>
      <c r="O232" s="34" t="s">
        <v>40</v>
      </c>
      <c r="P232" s="34">
        <v>16.0</v>
      </c>
      <c r="Q232" s="36"/>
      <c r="R232" s="36"/>
      <c r="S232" s="36"/>
    </row>
    <row r="233" ht="15.75" customHeight="1">
      <c r="A233" s="33">
        <v>45266.30055408565</v>
      </c>
      <c r="B233" s="34" t="s">
        <v>465</v>
      </c>
      <c r="C233" s="34" t="s">
        <v>26</v>
      </c>
      <c r="D233" s="34" t="s">
        <v>71</v>
      </c>
      <c r="E233" s="34" t="s">
        <v>491</v>
      </c>
      <c r="F233" s="34">
        <v>1.0</v>
      </c>
      <c r="G233" s="34">
        <v>18.0</v>
      </c>
      <c r="H233" s="34" t="s">
        <v>29</v>
      </c>
      <c r="I233" s="34" t="s">
        <v>40</v>
      </c>
      <c r="J233" s="24"/>
      <c r="K233" s="34" t="s">
        <v>626</v>
      </c>
      <c r="L233" s="34" t="s">
        <v>186</v>
      </c>
      <c r="M233" s="35" t="s">
        <v>399</v>
      </c>
      <c r="N233" s="37" t="s">
        <v>627</v>
      </c>
      <c r="O233" s="34" t="s">
        <v>40</v>
      </c>
      <c r="P233" s="34">
        <v>16.0</v>
      </c>
      <c r="Q233" s="36"/>
      <c r="R233" s="36"/>
      <c r="S233" s="36"/>
    </row>
    <row r="234" ht="15.75" customHeight="1">
      <c r="A234" s="33">
        <v>45266.34107545139</v>
      </c>
      <c r="B234" s="34" t="s">
        <v>2</v>
      </c>
      <c r="C234" s="34" t="s">
        <v>26</v>
      </c>
      <c r="D234" s="34" t="s">
        <v>119</v>
      </c>
      <c r="E234" s="34" t="s">
        <v>628</v>
      </c>
      <c r="F234" s="34">
        <v>2.0</v>
      </c>
      <c r="G234" s="34">
        <v>32.0</v>
      </c>
      <c r="H234" s="34" t="s">
        <v>29</v>
      </c>
      <c r="I234" s="34" t="s">
        <v>40</v>
      </c>
      <c r="J234" s="37" t="s">
        <v>629</v>
      </c>
      <c r="K234" s="34" t="s">
        <v>630</v>
      </c>
      <c r="L234" s="34" t="s">
        <v>111</v>
      </c>
      <c r="M234" s="38" t="s">
        <v>631</v>
      </c>
      <c r="N234" s="37" t="s">
        <v>632</v>
      </c>
      <c r="O234" s="34" t="s">
        <v>29</v>
      </c>
      <c r="P234" s="34">
        <v>16.0</v>
      </c>
      <c r="Q234" s="36"/>
      <c r="R234" s="36"/>
      <c r="S234" s="36"/>
    </row>
    <row r="235" ht="15.75" customHeight="1">
      <c r="A235" s="33">
        <v>45266.93819765047</v>
      </c>
      <c r="B235" s="34" t="s">
        <v>633</v>
      </c>
      <c r="C235" s="34" t="s">
        <v>350</v>
      </c>
      <c r="D235" s="34" t="s">
        <v>38</v>
      </c>
      <c r="E235" s="34" t="s">
        <v>634</v>
      </c>
      <c r="F235" s="34">
        <v>2.0</v>
      </c>
      <c r="G235" s="34">
        <v>16.0</v>
      </c>
      <c r="H235" s="34" t="s">
        <v>29</v>
      </c>
      <c r="I235" s="34" t="s">
        <v>40</v>
      </c>
      <c r="J235" s="24"/>
      <c r="M235" s="38" t="s">
        <v>50</v>
      </c>
      <c r="N235" s="24"/>
      <c r="O235" s="34" t="s">
        <v>40</v>
      </c>
      <c r="P235" s="34">
        <v>8.0</v>
      </c>
      <c r="Q235" s="36"/>
      <c r="R235" s="36"/>
      <c r="S235" s="36"/>
    </row>
    <row r="236" ht="15.75" customHeight="1">
      <c r="A236" s="33">
        <v>45266.94498263889</v>
      </c>
      <c r="B236" s="34" t="s">
        <v>2</v>
      </c>
      <c r="C236" s="34" t="s">
        <v>635</v>
      </c>
      <c r="D236" s="34" t="s">
        <v>47</v>
      </c>
      <c r="E236" s="34" t="s">
        <v>165</v>
      </c>
      <c r="F236" s="34">
        <v>2.0</v>
      </c>
      <c r="G236" s="34">
        <v>32.0</v>
      </c>
      <c r="H236" s="34" t="s">
        <v>29</v>
      </c>
      <c r="I236" s="34" t="s">
        <v>40</v>
      </c>
      <c r="J236" s="37" t="s">
        <v>636</v>
      </c>
      <c r="K236" s="34" t="s">
        <v>637</v>
      </c>
      <c r="L236" s="34" t="s">
        <v>136</v>
      </c>
      <c r="M236" s="35" t="s">
        <v>137</v>
      </c>
      <c r="N236" s="37" t="s">
        <v>638</v>
      </c>
      <c r="O236" s="34" t="s">
        <v>29</v>
      </c>
      <c r="P236" s="34">
        <v>16.0</v>
      </c>
      <c r="Q236" s="36"/>
      <c r="R236" s="36"/>
      <c r="S236" s="36"/>
    </row>
    <row r="237" ht="15.75" customHeight="1">
      <c r="A237" s="33">
        <v>45269.85915978009</v>
      </c>
      <c r="B237" s="34" t="s">
        <v>288</v>
      </c>
      <c r="D237" s="34" t="s">
        <v>71</v>
      </c>
      <c r="E237" s="34" t="s">
        <v>639</v>
      </c>
      <c r="F237" s="34">
        <v>1.0</v>
      </c>
      <c r="G237" s="34">
        <v>18.0</v>
      </c>
      <c r="H237" s="34" t="s">
        <v>29</v>
      </c>
      <c r="I237" s="34" t="s">
        <v>40</v>
      </c>
      <c r="J237" s="37" t="s">
        <v>640</v>
      </c>
      <c r="L237" s="34" t="s">
        <v>111</v>
      </c>
      <c r="M237" s="35" t="s">
        <v>50</v>
      </c>
      <c r="N237" s="37" t="s">
        <v>641</v>
      </c>
      <c r="O237" s="34" t="s">
        <v>40</v>
      </c>
      <c r="P237" s="34">
        <v>16.0</v>
      </c>
      <c r="Q237" s="36"/>
      <c r="R237" s="36"/>
      <c r="S237" s="36"/>
    </row>
    <row r="238" ht="15.75" customHeight="1">
      <c r="A238" s="33">
        <v>45270.56042395833</v>
      </c>
      <c r="B238" s="34" t="s">
        <v>2</v>
      </c>
      <c r="C238" s="34" t="s">
        <v>26</v>
      </c>
      <c r="D238" s="34" t="s">
        <v>47</v>
      </c>
      <c r="E238" s="34" t="s">
        <v>642</v>
      </c>
      <c r="F238" s="34">
        <v>2.0</v>
      </c>
      <c r="G238" s="34">
        <v>32.0</v>
      </c>
      <c r="H238" s="34" t="s">
        <v>29</v>
      </c>
      <c r="I238" s="34" t="s">
        <v>40</v>
      </c>
      <c r="J238" s="24"/>
      <c r="K238" s="34" t="s">
        <v>643</v>
      </c>
      <c r="L238" s="34" t="s">
        <v>111</v>
      </c>
      <c r="M238" s="37" t="s">
        <v>210</v>
      </c>
      <c r="N238" s="37" t="s">
        <v>644</v>
      </c>
      <c r="O238" s="34" t="s">
        <v>29</v>
      </c>
      <c r="P238" s="34">
        <v>16.0</v>
      </c>
      <c r="Q238" s="36"/>
      <c r="R238" s="36"/>
      <c r="S238" s="36"/>
    </row>
    <row r="239" ht="15.75" customHeight="1">
      <c r="A239" s="33">
        <v>45271.981660115736</v>
      </c>
      <c r="B239" s="34" t="s">
        <v>465</v>
      </c>
      <c r="C239" s="34" t="s">
        <v>26</v>
      </c>
      <c r="D239" s="34" t="s">
        <v>38</v>
      </c>
      <c r="E239" s="34" t="s">
        <v>68</v>
      </c>
      <c r="F239" s="34">
        <v>1.0</v>
      </c>
      <c r="G239" s="34">
        <v>10.0</v>
      </c>
      <c r="H239" s="34" t="s">
        <v>40</v>
      </c>
      <c r="I239" s="34" t="s">
        <v>40</v>
      </c>
      <c r="J239" s="37" t="s">
        <v>645</v>
      </c>
      <c r="K239" s="34" t="s">
        <v>646</v>
      </c>
      <c r="L239" s="34" t="s">
        <v>111</v>
      </c>
      <c r="M239" s="37" t="s">
        <v>210</v>
      </c>
      <c r="N239" s="24"/>
      <c r="O239" s="34" t="s">
        <v>40</v>
      </c>
      <c r="P239" s="34">
        <v>8.0</v>
      </c>
      <c r="Q239" s="36"/>
      <c r="R239" s="36"/>
      <c r="S239" s="36"/>
    </row>
    <row r="240" ht="15.75" customHeight="1">
      <c r="A240" s="33">
        <v>45272.38541296296</v>
      </c>
      <c r="B240" s="34" t="s">
        <v>288</v>
      </c>
      <c r="C240" s="34" t="s">
        <v>26</v>
      </c>
      <c r="D240" s="34" t="s">
        <v>71</v>
      </c>
      <c r="E240" s="34" t="s">
        <v>647</v>
      </c>
      <c r="F240" s="34">
        <v>1.0</v>
      </c>
      <c r="G240" s="34">
        <v>18.0</v>
      </c>
      <c r="H240" s="34" t="s">
        <v>40</v>
      </c>
      <c r="J240" s="37" t="s">
        <v>648</v>
      </c>
      <c r="L240" s="34" t="s">
        <v>186</v>
      </c>
      <c r="M240" s="37" t="s">
        <v>260</v>
      </c>
      <c r="N240" s="24"/>
      <c r="O240" s="34" t="s">
        <v>40</v>
      </c>
      <c r="P240" s="34">
        <v>16.0</v>
      </c>
      <c r="Q240" s="36"/>
      <c r="R240" s="36"/>
      <c r="S240" s="36"/>
    </row>
    <row r="241" ht="15.75" customHeight="1">
      <c r="A241" s="33">
        <v>45272.593366562505</v>
      </c>
      <c r="B241" s="34" t="s">
        <v>124</v>
      </c>
      <c r="C241" s="34" t="s">
        <v>26</v>
      </c>
      <c r="D241" s="34" t="s">
        <v>38</v>
      </c>
      <c r="E241" s="34" t="s">
        <v>649</v>
      </c>
      <c r="F241" s="34">
        <v>1.0</v>
      </c>
      <c r="G241" s="34">
        <v>10.0</v>
      </c>
      <c r="H241" s="34" t="s">
        <v>29</v>
      </c>
      <c r="I241" s="34" t="s">
        <v>40</v>
      </c>
      <c r="J241" s="37" t="s">
        <v>650</v>
      </c>
      <c r="K241" s="34" t="s">
        <v>651</v>
      </c>
      <c r="L241" s="34" t="s">
        <v>103</v>
      </c>
      <c r="M241" s="35" t="s">
        <v>122</v>
      </c>
      <c r="N241" s="37" t="s">
        <v>652</v>
      </c>
      <c r="O241" s="34" t="s">
        <v>40</v>
      </c>
      <c r="P241" s="34">
        <v>8.0</v>
      </c>
      <c r="Q241" s="36"/>
      <c r="R241" s="36"/>
      <c r="S241" s="36"/>
    </row>
    <row r="242" ht="15.75" customHeight="1">
      <c r="A242" s="33">
        <v>45273.79172390046</v>
      </c>
      <c r="B242" s="34" t="s">
        <v>465</v>
      </c>
      <c r="C242" s="34" t="s">
        <v>26</v>
      </c>
      <c r="D242" s="34" t="s">
        <v>27</v>
      </c>
      <c r="E242" s="34" t="s">
        <v>329</v>
      </c>
      <c r="F242" s="34">
        <v>1.0</v>
      </c>
      <c r="G242" s="34">
        <v>10.0</v>
      </c>
      <c r="H242" s="34" t="s">
        <v>29</v>
      </c>
      <c r="I242" s="34" t="s">
        <v>40</v>
      </c>
      <c r="J242" s="24"/>
      <c r="K242" s="34" t="s">
        <v>580</v>
      </c>
      <c r="L242" s="34" t="s">
        <v>103</v>
      </c>
      <c r="M242" s="35" t="s">
        <v>581</v>
      </c>
      <c r="N242" s="24"/>
      <c r="O242" s="34" t="s">
        <v>40</v>
      </c>
      <c r="P242" s="34">
        <v>8.0</v>
      </c>
      <c r="Q242" s="36"/>
      <c r="R242" s="36"/>
      <c r="S242" s="36"/>
    </row>
    <row r="243" ht="15.75" customHeight="1">
      <c r="A243" s="33">
        <v>45273.85369216435</v>
      </c>
      <c r="B243" s="34" t="s">
        <v>465</v>
      </c>
      <c r="C243" s="34" t="s">
        <v>26</v>
      </c>
      <c r="D243" s="34" t="s">
        <v>38</v>
      </c>
      <c r="E243" s="34" t="s">
        <v>400</v>
      </c>
      <c r="F243" s="34">
        <v>1.0</v>
      </c>
      <c r="G243" s="34">
        <v>18.0</v>
      </c>
      <c r="H243" s="34" t="s">
        <v>29</v>
      </c>
      <c r="I243" s="34" t="s">
        <v>40</v>
      </c>
      <c r="J243" s="24"/>
      <c r="L243" s="34" t="s">
        <v>354</v>
      </c>
      <c r="M243" s="35" t="s">
        <v>653</v>
      </c>
      <c r="N243" s="37" t="s">
        <v>654</v>
      </c>
      <c r="O243" s="34" t="s">
        <v>40</v>
      </c>
      <c r="P243" s="34">
        <v>16.0</v>
      </c>
      <c r="Q243" s="36"/>
      <c r="R243" s="36"/>
      <c r="S243" s="36"/>
    </row>
    <row r="244" ht="15.75" customHeight="1">
      <c r="A244" s="33">
        <v>45275.594899143514</v>
      </c>
      <c r="B244" s="34" t="s">
        <v>465</v>
      </c>
      <c r="C244" s="34" t="s">
        <v>26</v>
      </c>
      <c r="D244" s="34" t="s">
        <v>119</v>
      </c>
      <c r="E244" s="34" t="s">
        <v>120</v>
      </c>
      <c r="F244" s="34">
        <v>1.0</v>
      </c>
      <c r="G244" s="34">
        <v>18.0</v>
      </c>
      <c r="H244" s="34" t="s">
        <v>29</v>
      </c>
      <c r="I244" s="34" t="s">
        <v>40</v>
      </c>
      <c r="J244" s="24"/>
      <c r="K244" s="34" t="s">
        <v>655</v>
      </c>
      <c r="L244" s="34" t="s">
        <v>111</v>
      </c>
      <c r="M244" s="35" t="s">
        <v>50</v>
      </c>
      <c r="N244" s="37" t="s">
        <v>656</v>
      </c>
      <c r="O244" s="34" t="s">
        <v>126</v>
      </c>
      <c r="P244" s="34">
        <v>16.0</v>
      </c>
      <c r="Q244" s="36"/>
      <c r="R244" s="36"/>
      <c r="S244" s="36"/>
    </row>
    <row r="245" ht="15.75" customHeight="1">
      <c r="A245" s="33">
        <v>45280.21745729167</v>
      </c>
      <c r="B245" s="34" t="s">
        <v>169</v>
      </c>
      <c r="C245" s="34" t="s">
        <v>635</v>
      </c>
      <c r="D245" s="34" t="s">
        <v>71</v>
      </c>
      <c r="E245" s="34" t="s">
        <v>657</v>
      </c>
      <c r="F245" s="34">
        <v>1.0</v>
      </c>
      <c r="G245" s="34">
        <v>16.0</v>
      </c>
      <c r="H245" s="34" t="s">
        <v>29</v>
      </c>
      <c r="I245" s="34" t="s">
        <v>40</v>
      </c>
      <c r="J245" s="37" t="s">
        <v>658</v>
      </c>
      <c r="K245" s="34" t="s">
        <v>659</v>
      </c>
      <c r="L245" s="34" t="s">
        <v>111</v>
      </c>
      <c r="M245" s="37" t="s">
        <v>210</v>
      </c>
      <c r="N245" s="37" t="s">
        <v>660</v>
      </c>
      <c r="O245" s="34" t="s">
        <v>29</v>
      </c>
      <c r="P245" s="34">
        <v>8.0</v>
      </c>
      <c r="Q245" s="36"/>
      <c r="R245" s="36"/>
      <c r="S245" s="36"/>
    </row>
    <row r="246" ht="15.75" customHeight="1">
      <c r="A246" s="33">
        <v>45281.92596344907</v>
      </c>
      <c r="B246" s="34" t="s">
        <v>2</v>
      </c>
      <c r="C246" s="34" t="s">
        <v>26</v>
      </c>
      <c r="D246" s="34" t="s">
        <v>38</v>
      </c>
      <c r="E246" s="34" t="s">
        <v>153</v>
      </c>
      <c r="F246" s="34">
        <v>1.0</v>
      </c>
      <c r="G246" s="34">
        <v>12.0</v>
      </c>
      <c r="H246" s="34" t="s">
        <v>29</v>
      </c>
      <c r="I246" s="34" t="s">
        <v>40</v>
      </c>
      <c r="J246" s="24"/>
      <c r="L246" s="34" t="s">
        <v>140</v>
      </c>
      <c r="M246" s="35" t="s">
        <v>661</v>
      </c>
      <c r="N246" s="24"/>
      <c r="O246" s="34" t="s">
        <v>40</v>
      </c>
      <c r="P246" s="34">
        <v>8.0</v>
      </c>
      <c r="Q246" s="36"/>
      <c r="R246" s="36"/>
      <c r="S246" s="36"/>
    </row>
    <row r="247" ht="15.75" customHeight="1">
      <c r="A247" s="33">
        <v>45281.9283646875</v>
      </c>
      <c r="B247" s="34" t="s">
        <v>61</v>
      </c>
      <c r="C247" s="34" t="s">
        <v>26</v>
      </c>
      <c r="D247" s="34" t="s">
        <v>38</v>
      </c>
      <c r="E247" s="34" t="s">
        <v>662</v>
      </c>
      <c r="F247" s="34">
        <v>1.0</v>
      </c>
      <c r="G247" s="34">
        <v>8.0</v>
      </c>
      <c r="H247" s="34" t="s">
        <v>29</v>
      </c>
      <c r="I247" s="34" t="s">
        <v>40</v>
      </c>
      <c r="J247" s="24"/>
      <c r="L247" s="34" t="s">
        <v>140</v>
      </c>
      <c r="M247" s="35" t="s">
        <v>661</v>
      </c>
      <c r="N247" s="24"/>
      <c r="O247" s="34" t="s">
        <v>40</v>
      </c>
      <c r="P247" s="34">
        <v>4.0</v>
      </c>
      <c r="Q247" s="36"/>
      <c r="R247" s="36"/>
      <c r="S247" s="36"/>
    </row>
    <row r="248" ht="15.75" customHeight="1">
      <c r="A248" s="33">
        <v>45282.063845833334</v>
      </c>
      <c r="B248" s="34" t="s">
        <v>2</v>
      </c>
      <c r="C248" s="34" t="s">
        <v>26</v>
      </c>
      <c r="D248" s="34" t="s">
        <v>47</v>
      </c>
      <c r="E248" s="34" t="s">
        <v>663</v>
      </c>
      <c r="F248" s="34">
        <v>2.0</v>
      </c>
      <c r="G248" s="34">
        <v>32.0</v>
      </c>
      <c r="H248" s="34" t="s">
        <v>29</v>
      </c>
      <c r="I248" s="34" t="s">
        <v>40</v>
      </c>
      <c r="J248" s="24"/>
      <c r="L248" s="34" t="s">
        <v>111</v>
      </c>
      <c r="M248" s="35" t="s">
        <v>116</v>
      </c>
      <c r="N248" s="37" t="s">
        <v>664</v>
      </c>
      <c r="O248" s="34" t="s">
        <v>29</v>
      </c>
      <c r="P248" s="34">
        <v>16.0</v>
      </c>
      <c r="Q248" s="36"/>
      <c r="R248" s="36"/>
      <c r="S248" s="36"/>
    </row>
    <row r="249" ht="15.75" customHeight="1">
      <c r="A249" s="33">
        <v>45286.925682534726</v>
      </c>
      <c r="B249" s="34" t="s">
        <v>465</v>
      </c>
      <c r="C249" s="34" t="s">
        <v>26</v>
      </c>
      <c r="D249" s="34" t="s">
        <v>119</v>
      </c>
      <c r="E249" s="34" t="s">
        <v>665</v>
      </c>
      <c r="F249" s="34">
        <v>1.0</v>
      </c>
      <c r="G249" s="34">
        <v>18.0</v>
      </c>
      <c r="H249" s="34" t="s">
        <v>29</v>
      </c>
      <c r="I249" s="34" t="s">
        <v>40</v>
      </c>
      <c r="J249" s="37" t="s">
        <v>666</v>
      </c>
      <c r="K249" s="34" t="s">
        <v>667</v>
      </c>
      <c r="L249" s="34" t="s">
        <v>668</v>
      </c>
      <c r="M249" s="35" t="s">
        <v>669</v>
      </c>
      <c r="N249" s="24"/>
      <c r="O249" s="34" t="s">
        <v>40</v>
      </c>
      <c r="P249" s="34">
        <v>16.0</v>
      </c>
      <c r="Q249" s="36"/>
      <c r="R249" s="36"/>
      <c r="S249" s="36"/>
    </row>
    <row r="250" ht="15.75" customHeight="1">
      <c r="A250" s="33">
        <v>45288.02897315972</v>
      </c>
      <c r="B250" s="34" t="s">
        <v>36</v>
      </c>
      <c r="C250" s="34" t="s">
        <v>26</v>
      </c>
      <c r="D250" s="34" t="s">
        <v>119</v>
      </c>
      <c r="E250" s="34" t="s">
        <v>120</v>
      </c>
      <c r="F250" s="34">
        <v>1.0</v>
      </c>
      <c r="G250" s="34">
        <v>12.0</v>
      </c>
      <c r="H250" s="34" t="s">
        <v>29</v>
      </c>
      <c r="I250" s="34" t="s">
        <v>40</v>
      </c>
      <c r="J250" s="24"/>
      <c r="L250" s="34" t="s">
        <v>670</v>
      </c>
      <c r="M250" s="24"/>
      <c r="N250" s="24"/>
      <c r="O250" s="34" t="s">
        <v>40</v>
      </c>
      <c r="P250" s="34">
        <v>8.0</v>
      </c>
      <c r="Q250" s="36"/>
      <c r="R250" s="36"/>
      <c r="S250" s="36"/>
    </row>
    <row r="251" ht="15.75" customHeight="1">
      <c r="A251" s="33">
        <v>45290.3897025926</v>
      </c>
      <c r="B251" s="34" t="s">
        <v>465</v>
      </c>
      <c r="C251" s="34" t="s">
        <v>26</v>
      </c>
      <c r="D251" s="34" t="s">
        <v>671</v>
      </c>
      <c r="E251" s="34" t="s">
        <v>672</v>
      </c>
      <c r="F251" s="34">
        <v>1.0</v>
      </c>
      <c r="G251" s="34">
        <v>18.0</v>
      </c>
      <c r="H251" s="34" t="s">
        <v>29</v>
      </c>
      <c r="I251" s="34" t="s">
        <v>40</v>
      </c>
      <c r="J251" s="24"/>
      <c r="K251" s="34" t="s">
        <v>673</v>
      </c>
      <c r="L251" s="34" t="s">
        <v>31</v>
      </c>
      <c r="M251" s="35" t="s">
        <v>487</v>
      </c>
      <c r="N251" s="37" t="s">
        <v>674</v>
      </c>
      <c r="O251" s="34" t="s">
        <v>40</v>
      </c>
      <c r="P251" s="34">
        <v>16.0</v>
      </c>
      <c r="Q251" s="36"/>
      <c r="R251" s="36"/>
      <c r="S251" s="36"/>
    </row>
    <row r="252" ht="15.75" customHeight="1">
      <c r="A252" s="33">
        <v>45290.47029976852</v>
      </c>
      <c r="B252" s="34" t="s">
        <v>288</v>
      </c>
      <c r="C252" s="34" t="s">
        <v>26</v>
      </c>
      <c r="D252" s="34" t="s">
        <v>71</v>
      </c>
      <c r="E252" s="34" t="s">
        <v>345</v>
      </c>
      <c r="F252" s="34">
        <v>1.0</v>
      </c>
      <c r="G252" s="34">
        <v>18.0</v>
      </c>
      <c r="H252" s="34" t="s">
        <v>29</v>
      </c>
      <c r="I252" s="34" t="s">
        <v>40</v>
      </c>
      <c r="J252" s="24"/>
      <c r="K252" s="34" t="s">
        <v>675</v>
      </c>
      <c r="L252" s="34" t="s">
        <v>103</v>
      </c>
      <c r="M252" s="35" t="s">
        <v>122</v>
      </c>
      <c r="N252" s="24"/>
      <c r="O252" s="34" t="s">
        <v>40</v>
      </c>
      <c r="P252" s="34">
        <v>16.0</v>
      </c>
      <c r="Q252" s="36"/>
      <c r="R252" s="36"/>
      <c r="S252" s="36"/>
    </row>
    <row r="253" ht="15.75" customHeight="1">
      <c r="A253" s="33">
        <v>45290.6592368287</v>
      </c>
      <c r="B253" s="34" t="s">
        <v>465</v>
      </c>
      <c r="D253" s="34" t="s">
        <v>358</v>
      </c>
      <c r="E253" s="34" t="s">
        <v>676</v>
      </c>
      <c r="F253" s="34">
        <v>1.0</v>
      </c>
      <c r="G253" s="34">
        <v>10.0</v>
      </c>
      <c r="H253" s="34" t="s">
        <v>29</v>
      </c>
      <c r="I253" s="34" t="s">
        <v>40</v>
      </c>
      <c r="J253" s="37" t="s">
        <v>677</v>
      </c>
      <c r="K253" s="34" t="s">
        <v>678</v>
      </c>
      <c r="L253" s="34" t="s">
        <v>31</v>
      </c>
      <c r="M253" s="37" t="s">
        <v>679</v>
      </c>
      <c r="N253" s="37" t="s">
        <v>680</v>
      </c>
      <c r="O253" s="34" t="s">
        <v>126</v>
      </c>
      <c r="P253" s="34">
        <v>8.0</v>
      </c>
      <c r="Q253" s="36"/>
      <c r="R253" s="36"/>
      <c r="S253" s="36"/>
    </row>
    <row r="254" ht="15.75" customHeight="1">
      <c r="A254" s="33">
        <v>45292.330243414355</v>
      </c>
      <c r="B254" s="34" t="s">
        <v>465</v>
      </c>
      <c r="C254" s="34" t="s">
        <v>26</v>
      </c>
      <c r="D254" s="34" t="s">
        <v>119</v>
      </c>
      <c r="E254" s="34" t="s">
        <v>269</v>
      </c>
      <c r="G254" s="34">
        <v>18.0</v>
      </c>
      <c r="H254" s="34" t="s">
        <v>29</v>
      </c>
      <c r="I254" s="34" t="s">
        <v>40</v>
      </c>
      <c r="J254" s="24"/>
      <c r="M254" s="24"/>
      <c r="N254" s="24"/>
      <c r="O254" s="34" t="s">
        <v>40</v>
      </c>
      <c r="P254" s="34">
        <v>16.0</v>
      </c>
      <c r="Q254" s="36"/>
      <c r="R254" s="36"/>
      <c r="S254" s="36"/>
    </row>
    <row r="255" ht="15.75" customHeight="1">
      <c r="A255" s="33">
        <v>45293.477280694446</v>
      </c>
      <c r="B255" s="34" t="s">
        <v>288</v>
      </c>
      <c r="C255" s="34" t="s">
        <v>26</v>
      </c>
      <c r="D255" s="34" t="s">
        <v>71</v>
      </c>
      <c r="E255" s="34" t="s">
        <v>639</v>
      </c>
      <c r="F255" s="34">
        <v>1.0</v>
      </c>
      <c r="G255" s="34">
        <v>18.0</v>
      </c>
      <c r="H255" s="34" t="s">
        <v>29</v>
      </c>
      <c r="I255" s="34" t="s">
        <v>40</v>
      </c>
      <c r="J255" s="24"/>
      <c r="L255" s="34" t="s">
        <v>140</v>
      </c>
      <c r="M255" s="35" t="s">
        <v>681</v>
      </c>
      <c r="N255" s="24"/>
      <c r="O255" s="34" t="s">
        <v>40</v>
      </c>
      <c r="P255" s="34">
        <v>16.0</v>
      </c>
      <c r="Q255" s="36"/>
      <c r="R255" s="36"/>
      <c r="S255" s="36"/>
    </row>
    <row r="256" ht="15.75" customHeight="1">
      <c r="A256" s="33">
        <v>45294.851806192135</v>
      </c>
      <c r="B256" s="34" t="s">
        <v>2</v>
      </c>
      <c r="C256" s="34" t="s">
        <v>26</v>
      </c>
      <c r="D256" s="34" t="s">
        <v>27</v>
      </c>
      <c r="E256" s="34" t="s">
        <v>199</v>
      </c>
      <c r="F256" s="34">
        <v>2.0</v>
      </c>
      <c r="G256" s="34">
        <v>64.0</v>
      </c>
      <c r="H256" s="34" t="s">
        <v>29</v>
      </c>
      <c r="I256" s="34" t="s">
        <v>40</v>
      </c>
      <c r="J256" s="24"/>
      <c r="K256" s="34" t="s">
        <v>682</v>
      </c>
      <c r="L256" s="34" t="s">
        <v>140</v>
      </c>
      <c r="M256" s="35" t="s">
        <v>683</v>
      </c>
      <c r="N256" s="37" t="s">
        <v>684</v>
      </c>
      <c r="O256" s="34" t="s">
        <v>29</v>
      </c>
      <c r="P256" s="34">
        <v>32.0</v>
      </c>
      <c r="Q256" s="36"/>
      <c r="R256" s="36"/>
      <c r="S256" s="36"/>
    </row>
    <row r="257" ht="15.75" customHeight="1">
      <c r="A257" s="33">
        <v>45295.82740667824</v>
      </c>
      <c r="B257" s="34" t="s">
        <v>465</v>
      </c>
      <c r="C257" s="34" t="s">
        <v>26</v>
      </c>
      <c r="D257" s="34" t="s">
        <v>27</v>
      </c>
      <c r="E257" s="34" t="s">
        <v>157</v>
      </c>
      <c r="F257" s="34">
        <v>1.0</v>
      </c>
      <c r="G257" s="34">
        <v>18.0</v>
      </c>
      <c r="H257" s="34" t="s">
        <v>40</v>
      </c>
      <c r="I257" s="34" t="s">
        <v>40</v>
      </c>
      <c r="J257" s="24"/>
      <c r="L257" s="34" t="s">
        <v>354</v>
      </c>
      <c r="M257" s="35" t="s">
        <v>685</v>
      </c>
      <c r="N257" s="24"/>
      <c r="O257" s="34" t="s">
        <v>40</v>
      </c>
      <c r="P257" s="34">
        <v>16.0</v>
      </c>
      <c r="Q257" s="36"/>
      <c r="R257" s="36"/>
      <c r="S257" s="36"/>
    </row>
    <row r="258" ht="15.75" customHeight="1">
      <c r="A258" s="33">
        <v>45295.96330053241</v>
      </c>
      <c r="B258" s="34" t="s">
        <v>36</v>
      </c>
      <c r="C258" s="34" t="s">
        <v>26</v>
      </c>
      <c r="D258" s="34" t="s">
        <v>27</v>
      </c>
      <c r="E258" s="34" t="s">
        <v>212</v>
      </c>
      <c r="F258" s="34">
        <v>1.0</v>
      </c>
      <c r="G258" s="34">
        <v>20.0</v>
      </c>
      <c r="H258" s="34" t="s">
        <v>29</v>
      </c>
      <c r="I258" s="34" t="s">
        <v>40</v>
      </c>
      <c r="J258" s="24"/>
      <c r="L258" s="34" t="s">
        <v>670</v>
      </c>
      <c r="M258" s="24"/>
      <c r="N258" s="24"/>
      <c r="O258" s="34" t="s">
        <v>40</v>
      </c>
      <c r="P258" s="34">
        <v>16.0</v>
      </c>
      <c r="Q258" s="36"/>
      <c r="R258" s="36"/>
      <c r="S258" s="36"/>
    </row>
    <row r="259" ht="15.75" customHeight="1">
      <c r="A259" s="33">
        <v>45295.96530578704</v>
      </c>
      <c r="B259" s="34" t="s">
        <v>465</v>
      </c>
      <c r="C259" s="34" t="s">
        <v>26</v>
      </c>
      <c r="D259" s="34" t="s">
        <v>27</v>
      </c>
      <c r="E259" s="34" t="s">
        <v>212</v>
      </c>
      <c r="F259" s="34">
        <v>1.0</v>
      </c>
      <c r="G259" s="34">
        <v>18.0</v>
      </c>
      <c r="H259" s="34" t="s">
        <v>29</v>
      </c>
      <c r="I259" s="34" t="s">
        <v>40</v>
      </c>
      <c r="J259" s="24"/>
      <c r="L259" s="34" t="s">
        <v>670</v>
      </c>
      <c r="M259" s="24"/>
      <c r="N259" s="24"/>
      <c r="O259" s="34" t="s">
        <v>40</v>
      </c>
      <c r="P259" s="34">
        <v>16.0</v>
      </c>
      <c r="Q259" s="36"/>
      <c r="R259" s="36"/>
      <c r="S259" s="36"/>
    </row>
    <row r="260" ht="15.75" customHeight="1">
      <c r="A260" s="33">
        <v>45295.96973668982</v>
      </c>
      <c r="B260" s="34" t="s">
        <v>465</v>
      </c>
      <c r="C260" s="34" t="s">
        <v>26</v>
      </c>
      <c r="D260" s="34" t="s">
        <v>27</v>
      </c>
      <c r="E260" s="34" t="s">
        <v>686</v>
      </c>
      <c r="F260" s="34">
        <v>1.0</v>
      </c>
      <c r="G260" s="34">
        <v>10.0</v>
      </c>
      <c r="H260" s="34" t="s">
        <v>40</v>
      </c>
      <c r="J260" s="37" t="s">
        <v>687</v>
      </c>
      <c r="L260" s="34" t="s">
        <v>670</v>
      </c>
      <c r="M260" s="24"/>
      <c r="N260" s="24"/>
      <c r="O260" s="34" t="s">
        <v>40</v>
      </c>
      <c r="P260" s="34">
        <v>8.0</v>
      </c>
      <c r="Q260" s="36"/>
      <c r="R260" s="36"/>
      <c r="S260" s="36"/>
    </row>
    <row r="261" ht="15.75" customHeight="1">
      <c r="A261" s="33">
        <v>45295.974450127316</v>
      </c>
      <c r="B261" s="34" t="s">
        <v>465</v>
      </c>
      <c r="C261" s="34" t="s">
        <v>26</v>
      </c>
      <c r="D261" s="34" t="s">
        <v>119</v>
      </c>
      <c r="E261" s="34" t="s">
        <v>120</v>
      </c>
      <c r="F261" s="34">
        <v>1.0</v>
      </c>
      <c r="G261" s="34">
        <v>10.0</v>
      </c>
      <c r="H261" s="34" t="s">
        <v>29</v>
      </c>
      <c r="I261" s="34" t="s">
        <v>40</v>
      </c>
      <c r="J261" s="24"/>
      <c r="L261" s="34" t="s">
        <v>670</v>
      </c>
      <c r="M261" s="24"/>
      <c r="N261" s="24"/>
      <c r="O261" s="34" t="s">
        <v>40</v>
      </c>
      <c r="P261" s="34">
        <v>8.0</v>
      </c>
      <c r="Q261" s="36"/>
      <c r="R261" s="36"/>
      <c r="S261" s="36"/>
    </row>
    <row r="262" ht="15.75" customHeight="1">
      <c r="A262" s="33">
        <v>45299.75481375</v>
      </c>
      <c r="B262" s="34" t="s">
        <v>138</v>
      </c>
      <c r="C262" s="34" t="s">
        <v>26</v>
      </c>
      <c r="D262" s="34" t="s">
        <v>38</v>
      </c>
      <c r="E262" s="34" t="s">
        <v>389</v>
      </c>
      <c r="F262" s="34">
        <v>2.0</v>
      </c>
      <c r="G262" s="34">
        <v>32.0</v>
      </c>
      <c r="H262" s="34" t="s">
        <v>29</v>
      </c>
      <c r="I262" s="34" t="s">
        <v>40</v>
      </c>
      <c r="J262" s="24"/>
      <c r="L262" s="34" t="s">
        <v>93</v>
      </c>
      <c r="M262" s="35" t="s">
        <v>225</v>
      </c>
      <c r="N262" s="24"/>
      <c r="O262" s="34" t="s">
        <v>40</v>
      </c>
      <c r="P262" s="34">
        <v>16.0</v>
      </c>
      <c r="Q262" s="36"/>
      <c r="R262" s="36"/>
      <c r="S262" s="36"/>
    </row>
    <row r="263" ht="15.75" customHeight="1">
      <c r="A263" s="33">
        <v>45300.308377291665</v>
      </c>
      <c r="B263" s="34" t="s">
        <v>465</v>
      </c>
      <c r="C263" s="34" t="s">
        <v>26</v>
      </c>
      <c r="D263" s="34" t="s">
        <v>27</v>
      </c>
      <c r="E263" s="34" t="s">
        <v>329</v>
      </c>
      <c r="F263" s="34">
        <v>1.0</v>
      </c>
      <c r="G263" s="34">
        <v>10.0</v>
      </c>
      <c r="H263" s="34" t="s">
        <v>29</v>
      </c>
      <c r="I263" s="34" t="s">
        <v>40</v>
      </c>
      <c r="J263" s="24"/>
      <c r="K263" s="34" t="s">
        <v>688</v>
      </c>
      <c r="L263" s="34" t="s">
        <v>354</v>
      </c>
      <c r="M263" s="35" t="s">
        <v>685</v>
      </c>
      <c r="N263" s="24"/>
      <c r="O263" s="34" t="s">
        <v>40</v>
      </c>
      <c r="P263" s="34">
        <v>8.0</v>
      </c>
      <c r="Q263" s="36"/>
      <c r="R263" s="36"/>
      <c r="S263" s="36"/>
    </row>
    <row r="264" ht="15.75" customHeight="1">
      <c r="A264" s="33">
        <v>45300.310027037034</v>
      </c>
      <c r="B264" s="34" t="s">
        <v>465</v>
      </c>
      <c r="C264" s="34" t="s">
        <v>26</v>
      </c>
      <c r="D264" s="34" t="s">
        <v>27</v>
      </c>
      <c r="E264" s="34" t="s">
        <v>157</v>
      </c>
      <c r="F264" s="34">
        <v>1.0</v>
      </c>
      <c r="G264" s="34">
        <v>18.0</v>
      </c>
      <c r="H264" s="34" t="s">
        <v>40</v>
      </c>
      <c r="I264" s="34" t="s">
        <v>40</v>
      </c>
      <c r="J264" s="37" t="s">
        <v>435</v>
      </c>
      <c r="K264" s="34" t="s">
        <v>688</v>
      </c>
      <c r="L264" s="34" t="s">
        <v>354</v>
      </c>
      <c r="M264" s="35" t="s">
        <v>685</v>
      </c>
      <c r="N264" s="24"/>
      <c r="O264" s="34" t="s">
        <v>40</v>
      </c>
      <c r="P264" s="34">
        <v>16.0</v>
      </c>
      <c r="Q264" s="36"/>
      <c r="R264" s="36"/>
      <c r="S264" s="36"/>
    </row>
    <row r="265" ht="15.75" customHeight="1">
      <c r="A265" s="33">
        <v>45300.823898194445</v>
      </c>
      <c r="B265" s="34" t="s">
        <v>124</v>
      </c>
      <c r="C265" s="34" t="s">
        <v>26</v>
      </c>
      <c r="D265" s="34" t="s">
        <v>38</v>
      </c>
      <c r="E265" s="34" t="s">
        <v>59</v>
      </c>
      <c r="F265" s="34">
        <v>1.0</v>
      </c>
      <c r="G265" s="34">
        <v>18.0</v>
      </c>
      <c r="H265" s="34" t="s">
        <v>40</v>
      </c>
      <c r="I265" s="34" t="s">
        <v>40</v>
      </c>
      <c r="J265" s="37" t="s">
        <v>689</v>
      </c>
      <c r="L265" s="34" t="s">
        <v>436</v>
      </c>
      <c r="M265" s="24"/>
      <c r="N265" s="24"/>
      <c r="O265" s="34" t="s">
        <v>40</v>
      </c>
      <c r="P265" s="34">
        <v>16.0</v>
      </c>
      <c r="Q265" s="36"/>
      <c r="R265" s="36"/>
      <c r="S265" s="36"/>
    </row>
    <row r="266" ht="15.75" customHeight="1">
      <c r="A266" s="33">
        <v>45302.41574737268</v>
      </c>
      <c r="B266" s="34" t="s">
        <v>2</v>
      </c>
      <c r="C266" s="34" t="s">
        <v>26</v>
      </c>
      <c r="D266" s="34" t="s">
        <v>27</v>
      </c>
      <c r="E266" s="34" t="s">
        <v>690</v>
      </c>
      <c r="F266" s="34">
        <v>2.0</v>
      </c>
      <c r="G266" s="34">
        <v>64.0</v>
      </c>
      <c r="H266" s="34" t="s">
        <v>29</v>
      </c>
      <c r="I266" s="34" t="s">
        <v>40</v>
      </c>
      <c r="J266" s="24"/>
      <c r="K266" s="34" t="s">
        <v>691</v>
      </c>
      <c r="L266" s="34" t="s">
        <v>296</v>
      </c>
      <c r="M266" s="38" t="s">
        <v>692</v>
      </c>
      <c r="N266" s="37" t="s">
        <v>693</v>
      </c>
      <c r="O266" s="34" t="s">
        <v>29</v>
      </c>
      <c r="P266" s="34">
        <v>32.0</v>
      </c>
      <c r="Q266" s="36"/>
      <c r="R266" s="36"/>
      <c r="S266" s="36"/>
    </row>
    <row r="267" ht="15.75" customHeight="1">
      <c r="A267" s="33">
        <v>45302.74938270834</v>
      </c>
      <c r="B267" s="34" t="s">
        <v>357</v>
      </c>
      <c r="C267" s="34" t="s">
        <v>26</v>
      </c>
      <c r="D267" s="34" t="s">
        <v>38</v>
      </c>
      <c r="E267" s="34" t="s">
        <v>694</v>
      </c>
      <c r="F267" s="34">
        <v>1.0</v>
      </c>
      <c r="G267" s="34">
        <v>8.0</v>
      </c>
      <c r="H267" s="34" t="s">
        <v>29</v>
      </c>
      <c r="I267" s="34" t="s">
        <v>40</v>
      </c>
      <c r="J267" s="24"/>
      <c r="L267" s="34" t="s">
        <v>111</v>
      </c>
      <c r="M267" s="35" t="s">
        <v>50</v>
      </c>
      <c r="N267" s="24"/>
      <c r="O267" s="34" t="s">
        <v>40</v>
      </c>
      <c r="P267" s="34">
        <v>8.0</v>
      </c>
      <c r="Q267" s="36"/>
      <c r="R267" s="36"/>
      <c r="S267" s="36"/>
    </row>
    <row r="268" ht="15.75" customHeight="1">
      <c r="A268" s="33">
        <v>45304.81784363426</v>
      </c>
      <c r="B268" s="34" t="s">
        <v>2</v>
      </c>
      <c r="C268" s="34" t="s">
        <v>544</v>
      </c>
      <c r="D268" s="34" t="s">
        <v>63</v>
      </c>
      <c r="E268" s="34" t="s">
        <v>695</v>
      </c>
      <c r="F268" s="34">
        <v>2.0</v>
      </c>
      <c r="G268" s="34">
        <v>32.0</v>
      </c>
      <c r="H268" s="34" t="s">
        <v>29</v>
      </c>
      <c r="I268" s="34" t="s">
        <v>40</v>
      </c>
      <c r="J268" s="24"/>
      <c r="L268" s="34" t="s">
        <v>111</v>
      </c>
      <c r="M268" s="37" t="s">
        <v>210</v>
      </c>
      <c r="N268" s="24"/>
      <c r="O268" s="34" t="s">
        <v>29</v>
      </c>
      <c r="P268" s="34">
        <v>16.0</v>
      </c>
      <c r="Q268" s="36"/>
      <c r="R268" s="36"/>
      <c r="S268" s="36"/>
    </row>
    <row r="269" ht="15.75" customHeight="1">
      <c r="A269" s="33">
        <v>45305.645659988426</v>
      </c>
      <c r="B269" s="34" t="s">
        <v>2</v>
      </c>
      <c r="C269" s="34" t="s">
        <v>26</v>
      </c>
      <c r="D269" s="34" t="s">
        <v>27</v>
      </c>
      <c r="E269" s="34" t="s">
        <v>696</v>
      </c>
      <c r="F269" s="34">
        <v>1.0</v>
      </c>
      <c r="G269" s="34">
        <v>20.0</v>
      </c>
      <c r="H269" s="34" t="s">
        <v>29</v>
      </c>
      <c r="I269" s="34" t="s">
        <v>40</v>
      </c>
      <c r="J269" s="24"/>
      <c r="L269" s="34" t="s">
        <v>31</v>
      </c>
      <c r="M269" s="24"/>
      <c r="N269" s="37" t="s">
        <v>697</v>
      </c>
      <c r="O269" s="34" t="s">
        <v>29</v>
      </c>
      <c r="P269" s="34">
        <v>16.0</v>
      </c>
      <c r="Q269" s="36"/>
      <c r="R269" s="36"/>
      <c r="S269" s="36"/>
    </row>
    <row r="270" ht="15.75" customHeight="1">
      <c r="A270" s="33">
        <v>45305.737101446764</v>
      </c>
      <c r="B270" s="34" t="s">
        <v>45</v>
      </c>
      <c r="C270" s="34" t="s">
        <v>26</v>
      </c>
      <c r="D270" s="34" t="s">
        <v>101</v>
      </c>
      <c r="E270" s="34" t="s">
        <v>102</v>
      </c>
      <c r="F270" s="34">
        <v>2.0</v>
      </c>
      <c r="G270" s="34">
        <v>32.0</v>
      </c>
      <c r="H270" s="34" t="s">
        <v>29</v>
      </c>
      <c r="I270" s="34" t="s">
        <v>40</v>
      </c>
      <c r="J270" s="37" t="s">
        <v>698</v>
      </c>
      <c r="K270" s="34" t="s">
        <v>699</v>
      </c>
      <c r="L270" s="34" t="s">
        <v>670</v>
      </c>
      <c r="M270" s="35" t="s">
        <v>700</v>
      </c>
      <c r="N270" s="37" t="s">
        <v>701</v>
      </c>
      <c r="O270" s="34" t="s">
        <v>29</v>
      </c>
      <c r="P270" s="34">
        <v>16.0</v>
      </c>
      <c r="Q270" s="36"/>
      <c r="R270" s="36"/>
      <c r="S270" s="36"/>
    </row>
    <row r="271" ht="15.75" customHeight="1">
      <c r="A271" s="33">
        <v>45306.37545083334</v>
      </c>
      <c r="B271" s="34" t="s">
        <v>2</v>
      </c>
      <c r="C271" s="34" t="s">
        <v>26</v>
      </c>
      <c r="D271" s="34" t="s">
        <v>27</v>
      </c>
      <c r="E271" s="34" t="s">
        <v>28</v>
      </c>
      <c r="F271" s="34">
        <v>2.0</v>
      </c>
      <c r="G271" s="34">
        <v>32.0</v>
      </c>
      <c r="H271" s="34" t="s">
        <v>29</v>
      </c>
      <c r="I271" s="34" t="s">
        <v>40</v>
      </c>
      <c r="J271" s="24"/>
      <c r="L271" s="34" t="s">
        <v>186</v>
      </c>
      <c r="M271" s="35" t="s">
        <v>702</v>
      </c>
      <c r="N271" s="37" t="s">
        <v>703</v>
      </c>
      <c r="O271" s="34" t="s">
        <v>29</v>
      </c>
      <c r="P271" s="34">
        <v>16.0</v>
      </c>
      <c r="Q271" s="36"/>
      <c r="R271" s="36"/>
      <c r="S271" s="36"/>
    </row>
    <row r="272" ht="15.75" customHeight="1">
      <c r="A272" s="33">
        <v>45307.36697703703</v>
      </c>
      <c r="B272" s="34" t="s">
        <v>61</v>
      </c>
      <c r="C272" s="34" t="s">
        <v>704</v>
      </c>
      <c r="D272" s="34" t="s">
        <v>38</v>
      </c>
      <c r="E272" s="34" t="s">
        <v>634</v>
      </c>
      <c r="F272" s="34">
        <v>2.0</v>
      </c>
      <c r="G272" s="34">
        <v>16.0</v>
      </c>
      <c r="H272" s="34" t="s">
        <v>40</v>
      </c>
      <c r="I272" s="34" t="s">
        <v>40</v>
      </c>
      <c r="J272" s="37" t="s">
        <v>705</v>
      </c>
      <c r="L272" s="34" t="s">
        <v>103</v>
      </c>
      <c r="M272" s="35" t="s">
        <v>50</v>
      </c>
      <c r="N272" s="37" t="s">
        <v>706</v>
      </c>
      <c r="O272" s="34" t="s">
        <v>40</v>
      </c>
      <c r="P272" s="34">
        <v>8.0</v>
      </c>
      <c r="Q272" s="36"/>
      <c r="R272" s="36"/>
      <c r="S272" s="36"/>
    </row>
    <row r="273" ht="15.75" customHeight="1">
      <c r="A273" s="33">
        <v>45307.71849084491</v>
      </c>
      <c r="B273" s="34" t="s">
        <v>42</v>
      </c>
      <c r="C273" s="34" t="s">
        <v>26</v>
      </c>
      <c r="D273" s="34" t="s">
        <v>38</v>
      </c>
      <c r="E273" s="34" t="s">
        <v>102</v>
      </c>
      <c r="F273" s="34">
        <v>2.0</v>
      </c>
      <c r="G273" s="34">
        <v>32.0</v>
      </c>
      <c r="H273" s="34" t="s">
        <v>29</v>
      </c>
      <c r="I273" s="34" t="s">
        <v>40</v>
      </c>
      <c r="J273" s="24"/>
      <c r="L273" s="34" t="s">
        <v>585</v>
      </c>
      <c r="M273" s="38" t="s">
        <v>707</v>
      </c>
      <c r="N273" s="24"/>
      <c r="O273" s="34" t="s">
        <v>29</v>
      </c>
      <c r="P273" s="34">
        <v>16.0</v>
      </c>
      <c r="Q273" s="36"/>
      <c r="R273" s="36"/>
      <c r="S273" s="36"/>
    </row>
    <row r="274" ht="15.75" customHeight="1">
      <c r="A274" s="33">
        <v>45307.78126430555</v>
      </c>
      <c r="B274" s="34" t="s">
        <v>2</v>
      </c>
      <c r="C274" s="34" t="s">
        <v>337</v>
      </c>
      <c r="D274" s="34" t="s">
        <v>27</v>
      </c>
      <c r="E274" s="34" t="s">
        <v>511</v>
      </c>
      <c r="F274" s="34">
        <v>2.0</v>
      </c>
      <c r="G274" s="34">
        <v>32.0</v>
      </c>
      <c r="H274" s="34" t="s">
        <v>29</v>
      </c>
      <c r="I274" s="34" t="s">
        <v>40</v>
      </c>
      <c r="J274" s="24"/>
      <c r="L274" s="34" t="s">
        <v>140</v>
      </c>
      <c r="M274" s="37" t="s">
        <v>708</v>
      </c>
      <c r="N274" s="24"/>
      <c r="O274" s="34" t="s">
        <v>29</v>
      </c>
      <c r="P274" s="34">
        <v>16.0</v>
      </c>
      <c r="Q274" s="36"/>
      <c r="R274" s="36"/>
      <c r="S274" s="36"/>
    </row>
    <row r="275" ht="15.75" customHeight="1">
      <c r="A275" s="33">
        <v>45308.82468230324</v>
      </c>
      <c r="B275" s="34" t="s">
        <v>45</v>
      </c>
      <c r="C275" s="34" t="s">
        <v>26</v>
      </c>
      <c r="D275" s="34" t="s">
        <v>27</v>
      </c>
      <c r="E275" s="34" t="s">
        <v>52</v>
      </c>
      <c r="F275" s="34">
        <v>2.0</v>
      </c>
      <c r="G275" s="34">
        <v>64.0</v>
      </c>
      <c r="H275" s="34" t="s">
        <v>29</v>
      </c>
      <c r="I275" s="34" t="s">
        <v>29</v>
      </c>
      <c r="J275" s="24"/>
      <c r="L275" s="34" t="s">
        <v>111</v>
      </c>
      <c r="M275" s="37" t="s">
        <v>109</v>
      </c>
      <c r="N275" s="37" t="s">
        <v>709</v>
      </c>
      <c r="O275" s="34" t="s">
        <v>40</v>
      </c>
      <c r="P275" s="34">
        <v>32.0</v>
      </c>
      <c r="Q275" s="36"/>
      <c r="R275" s="36"/>
      <c r="S275" s="36"/>
    </row>
    <row r="276" ht="15.75" customHeight="1">
      <c r="A276" s="33">
        <v>45309.077229918985</v>
      </c>
      <c r="B276" s="34" t="s">
        <v>2</v>
      </c>
      <c r="C276" s="34" t="s">
        <v>26</v>
      </c>
      <c r="D276" s="34" t="s">
        <v>119</v>
      </c>
      <c r="E276" s="34" t="s">
        <v>710</v>
      </c>
      <c r="F276" s="34">
        <v>1.0</v>
      </c>
      <c r="G276" s="34">
        <v>20.0</v>
      </c>
      <c r="H276" s="34" t="s">
        <v>40</v>
      </c>
      <c r="I276" s="34" t="s">
        <v>40</v>
      </c>
      <c r="J276" s="37" t="s">
        <v>711</v>
      </c>
      <c r="L276" s="34" t="s">
        <v>111</v>
      </c>
      <c r="M276" s="35" t="s">
        <v>50</v>
      </c>
      <c r="N276" s="24"/>
      <c r="O276" s="34" t="s">
        <v>29</v>
      </c>
      <c r="P276" s="34">
        <v>16.0</v>
      </c>
      <c r="Q276" s="36"/>
      <c r="R276" s="36"/>
      <c r="S276" s="36"/>
    </row>
    <row r="277" ht="15.75" customHeight="1">
      <c r="A277" s="33">
        <v>45309.31975763889</v>
      </c>
      <c r="B277" s="34" t="s">
        <v>465</v>
      </c>
      <c r="C277" s="34" t="s">
        <v>704</v>
      </c>
      <c r="D277" s="34" t="s">
        <v>71</v>
      </c>
      <c r="E277" s="34" t="s">
        <v>345</v>
      </c>
      <c r="F277" s="34">
        <v>1.0</v>
      </c>
      <c r="G277" s="34">
        <v>18.0</v>
      </c>
      <c r="H277" s="34" t="s">
        <v>29</v>
      </c>
      <c r="I277" s="34" t="s">
        <v>40</v>
      </c>
      <c r="J277" s="24"/>
      <c r="M277" s="35" t="s">
        <v>50</v>
      </c>
      <c r="N277" s="37" t="s">
        <v>712</v>
      </c>
      <c r="O277" s="34" t="s">
        <v>40</v>
      </c>
      <c r="P277" s="34">
        <v>16.0</v>
      </c>
      <c r="Q277" s="36"/>
      <c r="R277" s="36"/>
      <c r="S277" s="36"/>
    </row>
    <row r="278" ht="15.75" customHeight="1">
      <c r="A278" s="33">
        <v>45314.126411307865</v>
      </c>
      <c r="B278" s="34" t="s">
        <v>61</v>
      </c>
      <c r="D278" s="34" t="s">
        <v>27</v>
      </c>
      <c r="E278" s="34" t="s">
        <v>713</v>
      </c>
      <c r="F278" s="34">
        <v>2.0</v>
      </c>
      <c r="G278" s="34">
        <v>16.0</v>
      </c>
      <c r="H278" s="34" t="s">
        <v>40</v>
      </c>
      <c r="J278" s="24"/>
      <c r="K278" s="34" t="s">
        <v>714</v>
      </c>
      <c r="L278" s="34" t="s">
        <v>611</v>
      </c>
      <c r="M278" s="24"/>
      <c r="N278" s="24"/>
      <c r="O278" s="34" t="s">
        <v>40</v>
      </c>
      <c r="P278" s="34">
        <v>8.0</v>
      </c>
      <c r="Q278" s="36"/>
      <c r="R278" s="36"/>
      <c r="S278" s="36"/>
    </row>
    <row r="279" ht="15.75" customHeight="1">
      <c r="A279" s="33">
        <v>45314.12869662037</v>
      </c>
      <c r="B279" s="34" t="s">
        <v>61</v>
      </c>
      <c r="C279" s="34" t="s">
        <v>350</v>
      </c>
      <c r="D279" s="34" t="s">
        <v>38</v>
      </c>
      <c r="E279" s="34" t="s">
        <v>715</v>
      </c>
      <c r="F279" s="34">
        <v>2.0</v>
      </c>
      <c r="G279" s="34">
        <v>16.0</v>
      </c>
      <c r="H279" s="34" t="s">
        <v>40</v>
      </c>
      <c r="J279" s="24"/>
      <c r="K279" s="34" t="s">
        <v>714</v>
      </c>
      <c r="L279" s="34" t="s">
        <v>611</v>
      </c>
      <c r="M279" s="24"/>
      <c r="N279" s="24"/>
      <c r="O279" s="34" t="s">
        <v>40</v>
      </c>
      <c r="P279" s="34">
        <v>8.0</v>
      </c>
      <c r="Q279" s="36"/>
      <c r="R279" s="36"/>
      <c r="S279" s="36"/>
    </row>
    <row r="280" ht="15.75" customHeight="1">
      <c r="A280" s="33">
        <v>45315.95187075232</v>
      </c>
      <c r="B280" s="34" t="s">
        <v>169</v>
      </c>
      <c r="C280" s="34" t="s">
        <v>26</v>
      </c>
      <c r="D280" s="34" t="s">
        <v>716</v>
      </c>
      <c r="E280" s="34" t="s">
        <v>717</v>
      </c>
      <c r="F280" s="34">
        <v>2.0</v>
      </c>
      <c r="G280" s="34">
        <v>64.0</v>
      </c>
      <c r="H280" s="34" t="s">
        <v>29</v>
      </c>
      <c r="I280" s="34" t="s">
        <v>40</v>
      </c>
      <c r="J280" s="24"/>
      <c r="L280" s="34" t="s">
        <v>136</v>
      </c>
      <c r="M280" s="35" t="s">
        <v>137</v>
      </c>
      <c r="N280" s="24"/>
      <c r="O280" s="34" t="s">
        <v>40</v>
      </c>
      <c r="P280" s="34">
        <v>32.0</v>
      </c>
      <c r="Q280" s="36"/>
      <c r="R280" s="36"/>
      <c r="S280" s="36"/>
    </row>
    <row r="281" ht="15.75" customHeight="1">
      <c r="A281" s="33">
        <v>45316.306521238424</v>
      </c>
      <c r="B281" s="34" t="s">
        <v>288</v>
      </c>
      <c r="C281" s="34" t="s">
        <v>704</v>
      </c>
      <c r="D281" s="34" t="s">
        <v>27</v>
      </c>
      <c r="E281" s="34" t="s">
        <v>212</v>
      </c>
      <c r="F281" s="34">
        <v>1.0</v>
      </c>
      <c r="G281" s="34">
        <v>18.0</v>
      </c>
      <c r="H281" s="34" t="s">
        <v>29</v>
      </c>
      <c r="I281" s="34" t="s">
        <v>40</v>
      </c>
      <c r="J281" s="24"/>
      <c r="M281" s="37" t="s">
        <v>260</v>
      </c>
      <c r="N281" s="24"/>
      <c r="O281" s="34" t="s">
        <v>40</v>
      </c>
      <c r="P281" s="34">
        <v>16.0</v>
      </c>
      <c r="Q281" s="36"/>
      <c r="R281" s="36"/>
      <c r="S281" s="36"/>
    </row>
    <row r="282" ht="15.75" customHeight="1">
      <c r="A282" s="33">
        <v>45316.35054216435</v>
      </c>
      <c r="B282" s="34" t="s">
        <v>465</v>
      </c>
      <c r="C282" s="34" t="s">
        <v>704</v>
      </c>
      <c r="D282" s="34" t="s">
        <v>671</v>
      </c>
      <c r="E282" s="34" t="s">
        <v>718</v>
      </c>
      <c r="F282" s="34">
        <v>1.0</v>
      </c>
      <c r="G282" s="34">
        <v>18.0</v>
      </c>
      <c r="H282" s="34" t="s">
        <v>29</v>
      </c>
      <c r="I282" s="34" t="s">
        <v>40</v>
      </c>
      <c r="J282" s="37" t="s">
        <v>719</v>
      </c>
      <c r="K282" s="34" t="s">
        <v>720</v>
      </c>
      <c r="L282" s="34" t="s">
        <v>296</v>
      </c>
      <c r="M282" s="35" t="s">
        <v>297</v>
      </c>
      <c r="N282" s="37" t="s">
        <v>721</v>
      </c>
      <c r="O282" s="34" t="s">
        <v>40</v>
      </c>
      <c r="P282" s="34">
        <v>16.0</v>
      </c>
      <c r="Q282" s="36"/>
      <c r="R282" s="36"/>
      <c r="S282" s="36"/>
    </row>
    <row r="283" ht="15.75" customHeight="1">
      <c r="A283" s="33">
        <v>45319.55720386574</v>
      </c>
      <c r="B283" s="34" t="s">
        <v>45</v>
      </c>
      <c r="C283" s="34" t="s">
        <v>595</v>
      </c>
      <c r="D283" s="34" t="s">
        <v>101</v>
      </c>
      <c r="E283" s="34" t="s">
        <v>102</v>
      </c>
      <c r="F283" s="34">
        <v>2.0</v>
      </c>
      <c r="G283" s="34">
        <v>32.0</v>
      </c>
      <c r="H283" s="34" t="s">
        <v>29</v>
      </c>
      <c r="I283" s="34" t="s">
        <v>40</v>
      </c>
      <c r="J283" s="24"/>
      <c r="L283" s="34" t="s">
        <v>31</v>
      </c>
      <c r="M283" s="35" t="s">
        <v>451</v>
      </c>
      <c r="N283" s="24"/>
      <c r="O283" s="34" t="s">
        <v>29</v>
      </c>
      <c r="P283" s="34">
        <v>16.0</v>
      </c>
      <c r="Q283" s="36"/>
      <c r="R283" s="36"/>
      <c r="S283" s="36"/>
    </row>
    <row r="284" ht="15.75" customHeight="1">
      <c r="A284" s="33">
        <v>45320.76907888889</v>
      </c>
      <c r="B284" s="34" t="s">
        <v>465</v>
      </c>
      <c r="C284" s="34" t="s">
        <v>26</v>
      </c>
      <c r="D284" s="34" t="s">
        <v>38</v>
      </c>
      <c r="E284" s="34" t="s">
        <v>59</v>
      </c>
      <c r="F284" s="34">
        <v>1.0</v>
      </c>
      <c r="G284" s="34">
        <v>18.0</v>
      </c>
      <c r="H284" s="34" t="s">
        <v>29</v>
      </c>
      <c r="I284" s="34" t="s">
        <v>40</v>
      </c>
      <c r="J284" s="37" t="s">
        <v>722</v>
      </c>
      <c r="K284" s="34" t="s">
        <v>723</v>
      </c>
      <c r="L284" s="34" t="s">
        <v>111</v>
      </c>
      <c r="M284" s="35" t="s">
        <v>116</v>
      </c>
      <c r="N284" s="24"/>
      <c r="O284" s="34" t="s">
        <v>40</v>
      </c>
      <c r="P284" s="34">
        <v>16.0</v>
      </c>
      <c r="Q284" s="36"/>
      <c r="R284" s="36"/>
      <c r="S284" s="36"/>
    </row>
    <row r="285" ht="15.75" customHeight="1">
      <c r="A285" s="33">
        <v>45321.015950347224</v>
      </c>
      <c r="B285" s="34" t="s">
        <v>118</v>
      </c>
      <c r="C285" s="34" t="s">
        <v>26</v>
      </c>
      <c r="D285" s="34" t="s">
        <v>716</v>
      </c>
      <c r="E285" s="34" t="s">
        <v>345</v>
      </c>
      <c r="F285" s="34">
        <v>1.0</v>
      </c>
      <c r="H285" s="34" t="s">
        <v>40</v>
      </c>
      <c r="J285" s="37" t="s">
        <v>724</v>
      </c>
      <c r="L285" s="34" t="s">
        <v>136</v>
      </c>
      <c r="M285" s="37" t="s">
        <v>210</v>
      </c>
      <c r="N285" s="24"/>
      <c r="O285" s="34" t="s">
        <v>40</v>
      </c>
      <c r="P285" s="34">
        <v>16.0</v>
      </c>
      <c r="Q285" s="36"/>
      <c r="R285" s="36"/>
      <c r="S285" s="36"/>
    </row>
    <row r="286" ht="15.75" customHeight="1">
      <c r="A286" s="33">
        <v>45321.42869141204</v>
      </c>
      <c r="B286" s="34" t="s">
        <v>124</v>
      </c>
      <c r="D286" s="34" t="s">
        <v>119</v>
      </c>
      <c r="E286" s="34" t="s">
        <v>725</v>
      </c>
      <c r="F286" s="34">
        <v>1.0</v>
      </c>
      <c r="G286" s="34">
        <v>10.0</v>
      </c>
      <c r="H286" s="34" t="s">
        <v>40</v>
      </c>
      <c r="J286" s="24"/>
      <c r="M286" s="24"/>
      <c r="N286" s="24"/>
      <c r="O286" s="34" t="s">
        <v>40</v>
      </c>
      <c r="P286" s="34">
        <v>8.0</v>
      </c>
      <c r="Q286" s="36"/>
      <c r="R286" s="36"/>
      <c r="S286" s="36"/>
    </row>
    <row r="287" ht="15.75" customHeight="1">
      <c r="A287" s="33">
        <v>45322.16489525463</v>
      </c>
      <c r="B287" s="34" t="s">
        <v>288</v>
      </c>
      <c r="C287" s="34" t="s">
        <v>26</v>
      </c>
      <c r="D287" s="34" t="s">
        <v>38</v>
      </c>
      <c r="E287" s="34" t="s">
        <v>39</v>
      </c>
      <c r="F287" s="34">
        <v>1.0</v>
      </c>
      <c r="G287" s="34">
        <v>20.0</v>
      </c>
      <c r="H287" s="34" t="s">
        <v>29</v>
      </c>
      <c r="I287" s="34" t="s">
        <v>40</v>
      </c>
      <c r="J287" s="37" t="s">
        <v>726</v>
      </c>
      <c r="K287" s="34" t="s">
        <v>727</v>
      </c>
      <c r="L287" s="34" t="s">
        <v>111</v>
      </c>
      <c r="M287" s="35" t="s">
        <v>50</v>
      </c>
      <c r="N287" s="24"/>
      <c r="O287" s="34" t="s">
        <v>126</v>
      </c>
      <c r="P287" s="34">
        <v>16.0</v>
      </c>
      <c r="Q287" s="36"/>
      <c r="R287" s="36"/>
      <c r="S287" s="36"/>
    </row>
    <row r="288" ht="15.75" customHeight="1">
      <c r="A288" s="33">
        <v>45322.774839791666</v>
      </c>
      <c r="B288" s="34" t="s">
        <v>138</v>
      </c>
      <c r="C288" s="34" t="s">
        <v>704</v>
      </c>
      <c r="D288" s="34" t="s">
        <v>27</v>
      </c>
      <c r="E288" s="34" t="s">
        <v>28</v>
      </c>
      <c r="F288" s="34">
        <v>1.0</v>
      </c>
      <c r="G288" s="34">
        <v>18.0</v>
      </c>
      <c r="H288" s="34" t="s">
        <v>29</v>
      </c>
      <c r="I288" s="34" t="s">
        <v>40</v>
      </c>
      <c r="J288" s="24"/>
      <c r="L288" s="34" t="s">
        <v>296</v>
      </c>
      <c r="M288" s="35" t="s">
        <v>297</v>
      </c>
      <c r="N288" s="37" t="s">
        <v>728</v>
      </c>
      <c r="O288" s="34" t="s">
        <v>29</v>
      </c>
      <c r="P288" s="34">
        <v>16.0</v>
      </c>
      <c r="Q288" s="36"/>
      <c r="R288" s="36"/>
      <c r="S288" s="36"/>
    </row>
    <row r="289" ht="15.75" customHeight="1">
      <c r="A289" s="33">
        <v>45330.82646386574</v>
      </c>
      <c r="B289" s="34" t="s">
        <v>124</v>
      </c>
      <c r="D289" s="34" t="s">
        <v>38</v>
      </c>
      <c r="E289" s="34" t="s">
        <v>59</v>
      </c>
      <c r="F289" s="34">
        <v>1.0</v>
      </c>
      <c r="G289" s="34">
        <v>18.0</v>
      </c>
      <c r="H289" s="34" t="s">
        <v>40</v>
      </c>
      <c r="I289" s="34" t="s">
        <v>40</v>
      </c>
      <c r="J289" s="37" t="s">
        <v>729</v>
      </c>
      <c r="L289" s="34" t="s">
        <v>93</v>
      </c>
      <c r="M289" s="37" t="s">
        <v>418</v>
      </c>
      <c r="N289" s="37" t="s">
        <v>730</v>
      </c>
      <c r="O289" s="34" t="s">
        <v>126</v>
      </c>
      <c r="P289" s="34">
        <v>16.0</v>
      </c>
      <c r="Q289" s="36"/>
      <c r="R289" s="36"/>
      <c r="S289" s="36"/>
    </row>
    <row r="290" ht="15.75" customHeight="1">
      <c r="A290" s="33">
        <v>45331.899026377316</v>
      </c>
      <c r="B290" s="34" t="s">
        <v>465</v>
      </c>
      <c r="C290" s="34" t="s">
        <v>704</v>
      </c>
      <c r="D290" s="34" t="s">
        <v>716</v>
      </c>
      <c r="E290" s="34" t="s">
        <v>345</v>
      </c>
      <c r="F290" s="34">
        <v>1.0</v>
      </c>
      <c r="G290" s="34">
        <v>18.0</v>
      </c>
      <c r="H290" s="34" t="s">
        <v>29</v>
      </c>
      <c r="I290" s="34" t="s">
        <v>40</v>
      </c>
      <c r="J290" s="24"/>
      <c r="K290" s="34" t="s">
        <v>731</v>
      </c>
      <c r="L290" s="34" t="s">
        <v>111</v>
      </c>
      <c r="M290" s="37" t="s">
        <v>210</v>
      </c>
      <c r="N290" s="37" t="s">
        <v>732</v>
      </c>
      <c r="O290" s="34" t="s">
        <v>40</v>
      </c>
      <c r="P290" s="34">
        <v>16.0</v>
      </c>
      <c r="Q290" s="36"/>
      <c r="R290" s="36"/>
      <c r="S290" s="36"/>
    </row>
    <row r="291" ht="15.75" customHeight="1">
      <c r="A291" s="33">
        <v>45338.30067848379</v>
      </c>
      <c r="B291" s="34" t="s">
        <v>465</v>
      </c>
      <c r="C291" s="34" t="s">
        <v>26</v>
      </c>
      <c r="D291" s="34" t="s">
        <v>38</v>
      </c>
      <c r="E291" s="34" t="s">
        <v>400</v>
      </c>
      <c r="F291" s="34">
        <v>1.0</v>
      </c>
      <c r="G291" s="34">
        <v>18.0</v>
      </c>
      <c r="H291" s="34" t="s">
        <v>29</v>
      </c>
      <c r="I291" s="34" t="s">
        <v>40</v>
      </c>
      <c r="J291" s="24"/>
      <c r="L291" s="34" t="s">
        <v>140</v>
      </c>
      <c r="M291" s="35" t="s">
        <v>733</v>
      </c>
      <c r="N291" s="24"/>
      <c r="O291" s="34" t="s">
        <v>126</v>
      </c>
      <c r="P291" s="34">
        <v>16.0</v>
      </c>
      <c r="Q291" s="36"/>
      <c r="R291" s="36"/>
      <c r="S291" s="36"/>
    </row>
    <row r="292" ht="15.75" customHeight="1">
      <c r="A292" s="33">
        <v>45340.15955945602</v>
      </c>
      <c r="B292" s="34" t="s">
        <v>465</v>
      </c>
      <c r="C292" s="34" t="s">
        <v>704</v>
      </c>
      <c r="D292" s="34" t="s">
        <v>38</v>
      </c>
      <c r="E292" s="34" t="s">
        <v>734</v>
      </c>
      <c r="F292" s="34">
        <v>1.0</v>
      </c>
      <c r="G292" s="34">
        <v>32.0</v>
      </c>
      <c r="H292" s="34" t="s">
        <v>40</v>
      </c>
      <c r="I292" s="34" t="s">
        <v>40</v>
      </c>
      <c r="J292" s="37" t="s">
        <v>735</v>
      </c>
      <c r="K292" s="34" t="s">
        <v>736</v>
      </c>
      <c r="L292" s="34" t="s">
        <v>111</v>
      </c>
      <c r="M292" s="35" t="s">
        <v>50</v>
      </c>
      <c r="N292" s="24"/>
      <c r="O292" s="34" t="s">
        <v>40</v>
      </c>
      <c r="P292" s="34">
        <v>32.0</v>
      </c>
      <c r="Q292" s="36"/>
      <c r="R292" s="36"/>
      <c r="S292" s="36"/>
    </row>
    <row r="293" ht="15.75" customHeight="1">
      <c r="A293" s="33">
        <v>45340.97678494213</v>
      </c>
      <c r="B293" s="34" t="s">
        <v>465</v>
      </c>
      <c r="C293" s="34" t="s">
        <v>704</v>
      </c>
      <c r="D293" s="34" t="s">
        <v>38</v>
      </c>
      <c r="E293" s="34" t="s">
        <v>59</v>
      </c>
      <c r="F293" s="34">
        <v>1.0</v>
      </c>
      <c r="G293" s="34">
        <v>18.0</v>
      </c>
      <c r="H293" s="34" t="s">
        <v>29</v>
      </c>
      <c r="I293" s="34" t="s">
        <v>40</v>
      </c>
      <c r="J293" s="24"/>
      <c r="K293" s="34" t="s">
        <v>736</v>
      </c>
      <c r="L293" s="34" t="s">
        <v>111</v>
      </c>
      <c r="M293" s="35" t="s">
        <v>116</v>
      </c>
      <c r="N293" s="24"/>
      <c r="O293" s="34" t="s">
        <v>40</v>
      </c>
      <c r="P293" s="34">
        <v>16.0</v>
      </c>
      <c r="Q293" s="36"/>
      <c r="R293" s="36"/>
      <c r="S293" s="36"/>
    </row>
    <row r="294" ht="15.75" customHeight="1">
      <c r="A294" s="33">
        <v>45341.43129013889</v>
      </c>
      <c r="B294" s="34" t="s">
        <v>36</v>
      </c>
      <c r="C294" s="34" t="s">
        <v>704</v>
      </c>
      <c r="D294" s="34" t="s">
        <v>671</v>
      </c>
      <c r="E294" s="34" t="s">
        <v>718</v>
      </c>
      <c r="F294" s="34">
        <v>1.0</v>
      </c>
      <c r="G294" s="34">
        <v>20.0</v>
      </c>
      <c r="H294" s="34" t="s">
        <v>29</v>
      </c>
      <c r="I294" s="34" t="s">
        <v>40</v>
      </c>
      <c r="J294" s="37" t="s">
        <v>737</v>
      </c>
      <c r="L294" s="34" t="s">
        <v>31</v>
      </c>
      <c r="M294" s="38" t="s">
        <v>230</v>
      </c>
      <c r="N294" s="24"/>
      <c r="O294" s="34" t="s">
        <v>40</v>
      </c>
      <c r="P294" s="34">
        <v>16.0</v>
      </c>
      <c r="Q294" s="36"/>
      <c r="R294" s="36"/>
      <c r="S294" s="36"/>
    </row>
    <row r="295" ht="15.75" customHeight="1">
      <c r="A295" s="33">
        <v>45342.44336564815</v>
      </c>
      <c r="B295" s="34" t="s">
        <v>738</v>
      </c>
      <c r="C295" s="34" t="s">
        <v>704</v>
      </c>
      <c r="D295" s="34" t="s">
        <v>132</v>
      </c>
      <c r="E295" s="34" t="s">
        <v>739</v>
      </c>
      <c r="F295" s="34">
        <v>2.0</v>
      </c>
      <c r="G295" s="34">
        <v>32.0</v>
      </c>
      <c r="H295" s="34" t="s">
        <v>29</v>
      </c>
      <c r="I295" s="34" t="s">
        <v>40</v>
      </c>
      <c r="J295" s="24"/>
      <c r="L295" s="34" t="s">
        <v>111</v>
      </c>
      <c r="M295" s="35" t="s">
        <v>50</v>
      </c>
      <c r="N295" s="37" t="s">
        <v>740</v>
      </c>
      <c r="O295" s="34" t="s">
        <v>29</v>
      </c>
      <c r="P295" s="34">
        <v>16.0</v>
      </c>
      <c r="Q295" s="36"/>
      <c r="R295" s="36"/>
      <c r="S295" s="36"/>
    </row>
    <row r="296" ht="15.75" customHeight="1">
      <c r="A296" s="33">
        <v>45343.314223657406</v>
      </c>
      <c r="B296" s="34" t="s">
        <v>138</v>
      </c>
      <c r="C296" s="34" t="s">
        <v>704</v>
      </c>
      <c r="D296" s="34" t="s">
        <v>38</v>
      </c>
      <c r="E296" s="34" t="s">
        <v>59</v>
      </c>
      <c r="F296" s="34">
        <v>2.0</v>
      </c>
      <c r="G296" s="34">
        <v>32.0</v>
      </c>
      <c r="H296" s="34" t="s">
        <v>29</v>
      </c>
      <c r="I296" s="34" t="s">
        <v>40</v>
      </c>
      <c r="J296" s="37" t="s">
        <v>741</v>
      </c>
      <c r="L296" s="34" t="s">
        <v>103</v>
      </c>
      <c r="M296" s="35" t="s">
        <v>122</v>
      </c>
      <c r="N296" s="24"/>
      <c r="O296" s="34" t="s">
        <v>29</v>
      </c>
      <c r="P296" s="34">
        <v>16.0</v>
      </c>
      <c r="Q296" s="36"/>
      <c r="R296" s="36"/>
      <c r="S296" s="36"/>
    </row>
    <row r="297" ht="15.75" customHeight="1">
      <c r="A297" s="33">
        <v>45344.690792511574</v>
      </c>
      <c r="B297" s="34" t="s">
        <v>2</v>
      </c>
      <c r="C297" s="34" t="s">
        <v>704</v>
      </c>
      <c r="D297" s="34" t="s">
        <v>27</v>
      </c>
      <c r="E297" s="34" t="s">
        <v>28</v>
      </c>
      <c r="F297" s="34">
        <v>2.0</v>
      </c>
      <c r="G297" s="34">
        <v>32.0</v>
      </c>
      <c r="H297" s="34" t="s">
        <v>29</v>
      </c>
      <c r="I297" s="34" t="s">
        <v>40</v>
      </c>
      <c r="J297" s="37" t="s">
        <v>742</v>
      </c>
      <c r="K297" s="34" t="s">
        <v>607</v>
      </c>
      <c r="L297" s="34" t="s">
        <v>743</v>
      </c>
      <c r="M297" s="37" t="s">
        <v>744</v>
      </c>
      <c r="N297" s="37" t="s">
        <v>745</v>
      </c>
      <c r="O297" s="34" t="s">
        <v>29</v>
      </c>
      <c r="P297" s="34">
        <v>16.0</v>
      </c>
      <c r="Q297" s="36"/>
      <c r="R297" s="36"/>
      <c r="S297" s="36"/>
    </row>
    <row r="298" ht="15.75" customHeight="1">
      <c r="A298" s="33">
        <v>45344.77867053241</v>
      </c>
      <c r="B298" s="34" t="s">
        <v>465</v>
      </c>
      <c r="C298" s="34" t="s">
        <v>26</v>
      </c>
      <c r="D298" s="34" t="s">
        <v>119</v>
      </c>
      <c r="E298" s="34" t="s">
        <v>592</v>
      </c>
      <c r="F298" s="34">
        <v>1.0</v>
      </c>
      <c r="G298" s="34">
        <v>6.0</v>
      </c>
      <c r="H298" s="34" t="s">
        <v>29</v>
      </c>
      <c r="I298" s="34" t="s">
        <v>40</v>
      </c>
      <c r="J298" s="24"/>
      <c r="K298" s="34" t="s">
        <v>746</v>
      </c>
      <c r="L298" s="34" t="s">
        <v>31</v>
      </c>
      <c r="M298" s="37" t="s">
        <v>747</v>
      </c>
      <c r="N298" s="24"/>
      <c r="O298" s="34" t="s">
        <v>40</v>
      </c>
      <c r="P298" s="34">
        <v>4.0</v>
      </c>
      <c r="Q298" s="36"/>
      <c r="R298" s="36"/>
      <c r="S298" s="36"/>
    </row>
    <row r="299" ht="15.75" customHeight="1">
      <c r="A299" s="33">
        <v>45345.65235344907</v>
      </c>
      <c r="B299" s="34" t="s">
        <v>2</v>
      </c>
      <c r="C299" s="34" t="s">
        <v>544</v>
      </c>
      <c r="D299" s="34" t="s">
        <v>716</v>
      </c>
      <c r="E299" s="34" t="s">
        <v>161</v>
      </c>
      <c r="F299" s="34">
        <v>2.0</v>
      </c>
      <c r="G299" s="34">
        <v>32.0</v>
      </c>
      <c r="H299" s="34" t="s">
        <v>29</v>
      </c>
      <c r="I299" s="34" t="s">
        <v>40</v>
      </c>
      <c r="J299" s="24"/>
      <c r="K299" s="34" t="s">
        <v>748</v>
      </c>
      <c r="L299" s="34" t="s">
        <v>111</v>
      </c>
      <c r="M299" s="35" t="s">
        <v>50</v>
      </c>
      <c r="N299" s="37" t="s">
        <v>749</v>
      </c>
      <c r="O299" s="34" t="s">
        <v>29</v>
      </c>
      <c r="P299" s="34">
        <v>16.0</v>
      </c>
      <c r="Q299" s="36"/>
      <c r="R299" s="36"/>
      <c r="S299" s="36"/>
    </row>
    <row r="300" ht="15.75" customHeight="1">
      <c r="A300" s="33">
        <v>45348.73105282408</v>
      </c>
      <c r="B300" s="34" t="s">
        <v>82</v>
      </c>
      <c r="C300" s="34" t="s">
        <v>704</v>
      </c>
      <c r="D300" s="34" t="s">
        <v>180</v>
      </c>
      <c r="E300" s="34" t="s">
        <v>750</v>
      </c>
      <c r="F300" s="34">
        <v>2.0</v>
      </c>
      <c r="G300" s="34">
        <v>16.0</v>
      </c>
      <c r="H300" s="34" t="s">
        <v>29</v>
      </c>
      <c r="I300" s="34" t="s">
        <v>29</v>
      </c>
      <c r="J300" s="37" t="s">
        <v>751</v>
      </c>
      <c r="K300" s="34" t="s">
        <v>752</v>
      </c>
      <c r="L300" s="34" t="s">
        <v>753</v>
      </c>
      <c r="M300" s="37" t="s">
        <v>754</v>
      </c>
      <c r="N300" s="24"/>
      <c r="O300" s="34" t="s">
        <v>40</v>
      </c>
      <c r="P300" s="34">
        <v>8.0</v>
      </c>
      <c r="Q300" s="36"/>
      <c r="R300" s="36"/>
      <c r="S300" s="36"/>
    </row>
    <row r="301" ht="15.75" customHeight="1">
      <c r="A301" s="33">
        <v>45348.92260855324</v>
      </c>
      <c r="B301" s="34" t="s">
        <v>465</v>
      </c>
      <c r="C301" s="34" t="s">
        <v>704</v>
      </c>
      <c r="D301" s="34" t="s">
        <v>27</v>
      </c>
      <c r="E301" s="34" t="s">
        <v>212</v>
      </c>
      <c r="F301" s="34">
        <v>1.0</v>
      </c>
      <c r="G301" s="34">
        <v>18.0</v>
      </c>
      <c r="H301" s="34" t="s">
        <v>29</v>
      </c>
      <c r="I301" s="34" t="s">
        <v>40</v>
      </c>
      <c r="J301" s="24"/>
      <c r="L301" s="34" t="s">
        <v>743</v>
      </c>
      <c r="M301" s="37" t="s">
        <v>755</v>
      </c>
      <c r="N301" s="24"/>
      <c r="O301" s="34" t="s">
        <v>40</v>
      </c>
      <c r="P301" s="34">
        <v>16.0</v>
      </c>
      <c r="Q301" s="36"/>
      <c r="R301" s="36"/>
      <c r="S301" s="36"/>
    </row>
    <row r="302" ht="15.75" customHeight="1">
      <c r="A302" s="33">
        <v>45349.179976134255</v>
      </c>
      <c r="B302" s="34" t="s">
        <v>288</v>
      </c>
      <c r="C302" s="34" t="s">
        <v>704</v>
      </c>
      <c r="D302" s="34" t="s">
        <v>756</v>
      </c>
      <c r="E302" s="34" t="s">
        <v>212</v>
      </c>
      <c r="F302" s="34">
        <v>1.0</v>
      </c>
      <c r="G302" s="34">
        <v>18.0</v>
      </c>
      <c r="H302" s="34" t="s">
        <v>29</v>
      </c>
      <c r="I302" s="34" t="s">
        <v>40</v>
      </c>
      <c r="J302" s="24"/>
      <c r="M302" s="37" t="s">
        <v>260</v>
      </c>
      <c r="N302" s="37" t="s">
        <v>757</v>
      </c>
      <c r="O302" s="34" t="s">
        <v>40</v>
      </c>
      <c r="P302" s="34">
        <v>16.0</v>
      </c>
      <c r="Q302" s="36"/>
      <c r="R302" s="36"/>
      <c r="S302" s="36"/>
    </row>
    <row r="303" ht="15.75" customHeight="1">
      <c r="A303" s="33">
        <v>45349.8448321412</v>
      </c>
      <c r="B303" s="34" t="s">
        <v>118</v>
      </c>
      <c r="C303" s="34" t="s">
        <v>704</v>
      </c>
      <c r="D303" s="34" t="s">
        <v>38</v>
      </c>
      <c r="E303" s="34" t="s">
        <v>153</v>
      </c>
      <c r="F303" s="34">
        <v>1.0</v>
      </c>
      <c r="G303" s="34">
        <v>2.0</v>
      </c>
      <c r="H303" s="34" t="s">
        <v>40</v>
      </c>
      <c r="I303" s="34" t="s">
        <v>40</v>
      </c>
      <c r="J303" s="37"/>
      <c r="M303" s="24"/>
      <c r="N303" s="24"/>
      <c r="O303" s="34" t="s">
        <v>40</v>
      </c>
      <c r="P303" s="34">
        <v>8.0</v>
      </c>
      <c r="Q303" s="36"/>
      <c r="R303" s="36"/>
      <c r="S303" s="36"/>
    </row>
    <row r="304" ht="15.75" customHeight="1">
      <c r="A304" s="33">
        <v>45350.49412527778</v>
      </c>
      <c r="B304" s="34" t="s">
        <v>138</v>
      </c>
      <c r="C304" s="34" t="s">
        <v>704</v>
      </c>
      <c r="D304" s="34" t="s">
        <v>101</v>
      </c>
      <c r="E304" s="34" t="s">
        <v>449</v>
      </c>
      <c r="F304" s="34">
        <v>2.0</v>
      </c>
      <c r="G304" s="34">
        <v>32.0</v>
      </c>
      <c r="H304" s="34" t="s">
        <v>29</v>
      </c>
      <c r="I304" s="34" t="s">
        <v>40</v>
      </c>
      <c r="J304" s="24"/>
      <c r="K304" s="34" t="s">
        <v>758</v>
      </c>
      <c r="L304" s="34" t="s">
        <v>239</v>
      </c>
      <c r="M304" s="35" t="s">
        <v>759</v>
      </c>
      <c r="N304" s="37" t="s">
        <v>760</v>
      </c>
      <c r="O304" s="34" t="s">
        <v>29</v>
      </c>
      <c r="P304" s="34">
        <v>16.0</v>
      </c>
      <c r="Q304" s="36"/>
      <c r="R304" s="36"/>
      <c r="S304" s="36"/>
    </row>
    <row r="305" ht="15.75" customHeight="1">
      <c r="A305" s="33">
        <v>45351.18624887732</v>
      </c>
      <c r="B305" s="34" t="s">
        <v>465</v>
      </c>
      <c r="C305" s="34" t="s">
        <v>26</v>
      </c>
      <c r="D305" s="34" t="s">
        <v>119</v>
      </c>
      <c r="E305" s="34" t="s">
        <v>625</v>
      </c>
      <c r="F305" s="34">
        <v>1.0</v>
      </c>
      <c r="G305" s="34">
        <v>18.0</v>
      </c>
      <c r="H305" s="34" t="s">
        <v>29</v>
      </c>
      <c r="I305" s="34" t="s">
        <v>40</v>
      </c>
      <c r="J305" s="24"/>
      <c r="K305" s="34" t="s">
        <v>761</v>
      </c>
      <c r="L305" s="34" t="s">
        <v>111</v>
      </c>
      <c r="M305" s="35" t="s">
        <v>106</v>
      </c>
      <c r="N305" s="37" t="s">
        <v>762</v>
      </c>
      <c r="O305" s="34" t="s">
        <v>40</v>
      </c>
      <c r="P305" s="34">
        <v>16.0</v>
      </c>
      <c r="Q305" s="36"/>
      <c r="R305" s="36"/>
      <c r="S305" s="36"/>
    </row>
    <row r="306" ht="15.75" customHeight="1">
      <c r="A306" s="33">
        <v>45351.785818958335</v>
      </c>
      <c r="B306" s="34" t="s">
        <v>74</v>
      </c>
      <c r="C306" s="34" t="s">
        <v>704</v>
      </c>
      <c r="D306" s="34" t="s">
        <v>101</v>
      </c>
      <c r="E306" s="34" t="s">
        <v>763</v>
      </c>
      <c r="F306" s="34">
        <v>2.0</v>
      </c>
      <c r="G306" s="34">
        <v>16.0</v>
      </c>
      <c r="H306" s="34" t="s">
        <v>29</v>
      </c>
      <c r="I306" s="34" t="s">
        <v>40</v>
      </c>
      <c r="J306" s="24"/>
      <c r="L306" s="34" t="s">
        <v>354</v>
      </c>
      <c r="M306" s="24"/>
      <c r="N306" s="37" t="s">
        <v>764</v>
      </c>
      <c r="O306" s="34" t="s">
        <v>40</v>
      </c>
      <c r="P306" s="34">
        <v>8.0</v>
      </c>
      <c r="Q306" s="36"/>
      <c r="R306" s="36"/>
      <c r="S306" s="36"/>
    </row>
    <row r="307" ht="15.75" customHeight="1">
      <c r="A307" s="33">
        <v>45352.716634826385</v>
      </c>
      <c r="B307" s="34" t="s">
        <v>2</v>
      </c>
      <c r="C307" s="34" t="s">
        <v>26</v>
      </c>
      <c r="D307" s="34" t="s">
        <v>47</v>
      </c>
      <c r="E307" s="34" t="s">
        <v>765</v>
      </c>
      <c r="F307" s="34">
        <v>2.0</v>
      </c>
      <c r="G307" s="34">
        <v>32.0</v>
      </c>
      <c r="H307" s="34" t="s">
        <v>40</v>
      </c>
      <c r="I307" s="34" t="s">
        <v>40</v>
      </c>
      <c r="J307" s="37" t="s">
        <v>766</v>
      </c>
      <c r="K307" s="34" t="s">
        <v>767</v>
      </c>
      <c r="L307" s="34" t="s">
        <v>151</v>
      </c>
      <c r="M307" s="37" t="s">
        <v>768</v>
      </c>
      <c r="N307" s="24"/>
      <c r="O307" s="34" t="s">
        <v>29</v>
      </c>
      <c r="P307" s="34">
        <v>16.0</v>
      </c>
      <c r="Q307" s="36"/>
      <c r="R307" s="36"/>
      <c r="S307" s="36"/>
    </row>
    <row r="308" ht="15.75" customHeight="1">
      <c r="A308" s="33">
        <v>45354.75303273148</v>
      </c>
      <c r="B308" s="34" t="s">
        <v>45</v>
      </c>
      <c r="C308" s="34" t="s">
        <v>704</v>
      </c>
      <c r="D308" s="34" t="s">
        <v>101</v>
      </c>
      <c r="E308" s="34" t="s">
        <v>102</v>
      </c>
      <c r="F308" s="34">
        <v>2.0</v>
      </c>
      <c r="G308" s="34">
        <v>32.0</v>
      </c>
      <c r="H308" s="34" t="s">
        <v>29</v>
      </c>
      <c r="I308" s="34" t="s">
        <v>40</v>
      </c>
      <c r="J308" s="24"/>
      <c r="L308" s="34" t="s">
        <v>111</v>
      </c>
      <c r="M308" s="35" t="s">
        <v>451</v>
      </c>
      <c r="N308" s="24"/>
      <c r="O308" s="34" t="s">
        <v>29</v>
      </c>
      <c r="P308" s="34">
        <v>16.0</v>
      </c>
      <c r="Q308" s="36"/>
      <c r="R308" s="36"/>
      <c r="S308" s="36"/>
    </row>
    <row r="309" ht="15.75" customHeight="1">
      <c r="A309" s="33">
        <v>45355.34324128472</v>
      </c>
      <c r="B309" s="34" t="s">
        <v>465</v>
      </c>
      <c r="C309" s="34" t="s">
        <v>769</v>
      </c>
      <c r="D309" s="34" t="s">
        <v>716</v>
      </c>
      <c r="E309" s="34" t="s">
        <v>770</v>
      </c>
      <c r="F309" s="34">
        <v>1.0</v>
      </c>
      <c r="G309" s="34">
        <v>18.0</v>
      </c>
      <c r="H309" s="34" t="s">
        <v>29</v>
      </c>
      <c r="I309" s="34" t="s">
        <v>40</v>
      </c>
      <c r="J309" s="24"/>
      <c r="K309" s="34" t="s">
        <v>771</v>
      </c>
      <c r="L309" s="34" t="s">
        <v>31</v>
      </c>
      <c r="M309" s="35" t="s">
        <v>230</v>
      </c>
      <c r="N309" s="37" t="s">
        <v>772</v>
      </c>
      <c r="O309" s="34" t="s">
        <v>40</v>
      </c>
      <c r="P309" s="34">
        <v>16.0</v>
      </c>
      <c r="Q309" s="36"/>
      <c r="R309" s="36"/>
      <c r="S309" s="36"/>
    </row>
    <row r="310" ht="15.75" customHeight="1">
      <c r="A310" s="33">
        <v>45356.473734942134</v>
      </c>
      <c r="B310" s="34" t="s">
        <v>61</v>
      </c>
      <c r="C310" s="34" t="s">
        <v>350</v>
      </c>
      <c r="D310" s="34" t="s">
        <v>38</v>
      </c>
      <c r="E310" s="34" t="s">
        <v>773</v>
      </c>
      <c r="F310" s="34">
        <v>2.0</v>
      </c>
      <c r="G310" s="34">
        <v>8.0</v>
      </c>
      <c r="H310" s="34" t="s">
        <v>29</v>
      </c>
      <c r="I310" s="34" t="s">
        <v>40</v>
      </c>
      <c r="J310" s="24"/>
      <c r="L310" s="34" t="s">
        <v>111</v>
      </c>
      <c r="M310" s="35" t="s">
        <v>50</v>
      </c>
      <c r="N310" s="37" t="s">
        <v>774</v>
      </c>
      <c r="O310" s="34" t="s">
        <v>40</v>
      </c>
      <c r="P310" s="34">
        <v>4.0</v>
      </c>
      <c r="Q310" s="36"/>
      <c r="R310" s="36"/>
      <c r="S310" s="36"/>
    </row>
    <row r="311" ht="15.75" customHeight="1">
      <c r="A311" s="33">
        <v>45356.854272743054</v>
      </c>
      <c r="B311" s="34" t="s">
        <v>138</v>
      </c>
      <c r="C311" s="34" t="s">
        <v>704</v>
      </c>
      <c r="D311" s="34" t="s">
        <v>38</v>
      </c>
      <c r="E311" s="34" t="s">
        <v>775</v>
      </c>
      <c r="F311" s="34">
        <v>2.0</v>
      </c>
      <c r="G311" s="34">
        <v>16.0</v>
      </c>
      <c r="H311" s="34" t="s">
        <v>29</v>
      </c>
      <c r="I311" s="34" t="s">
        <v>40</v>
      </c>
      <c r="J311" s="37" t="s">
        <v>776</v>
      </c>
      <c r="K311" s="34" t="s">
        <v>777</v>
      </c>
      <c r="L311" s="34" t="s">
        <v>103</v>
      </c>
      <c r="M311" s="35" t="s">
        <v>778</v>
      </c>
      <c r="N311" s="24"/>
      <c r="O311" s="34" t="s">
        <v>126</v>
      </c>
      <c r="P311" s="34">
        <v>8.0</v>
      </c>
      <c r="Q311" s="36"/>
      <c r="R311" s="36"/>
      <c r="S311" s="36"/>
    </row>
    <row r="312" ht="15.75" customHeight="1">
      <c r="A312" s="33">
        <v>45358.69209902778</v>
      </c>
      <c r="B312" s="34" t="s">
        <v>288</v>
      </c>
      <c r="C312" s="34" t="s">
        <v>704</v>
      </c>
      <c r="D312" s="34" t="s">
        <v>27</v>
      </c>
      <c r="E312" s="34" t="s">
        <v>696</v>
      </c>
      <c r="F312" s="34">
        <v>1.0</v>
      </c>
      <c r="G312" s="34">
        <v>18.0</v>
      </c>
      <c r="H312" s="34" t="s">
        <v>40</v>
      </c>
      <c r="I312" s="34" t="s">
        <v>40</v>
      </c>
      <c r="J312" s="37" t="s">
        <v>779</v>
      </c>
      <c r="L312" s="34" t="s">
        <v>608</v>
      </c>
      <c r="M312" s="35" t="s">
        <v>780</v>
      </c>
      <c r="N312" s="24"/>
      <c r="O312" s="34" t="s">
        <v>29</v>
      </c>
      <c r="P312" s="34">
        <v>16.0</v>
      </c>
      <c r="Q312" s="36"/>
      <c r="R312" s="36"/>
      <c r="S312" s="36"/>
    </row>
    <row r="313" ht="15.75" customHeight="1">
      <c r="A313" s="33">
        <v>45358.69981395833</v>
      </c>
      <c r="B313" s="34" t="s">
        <v>465</v>
      </c>
      <c r="C313" s="34" t="s">
        <v>704</v>
      </c>
      <c r="D313" s="34" t="s">
        <v>38</v>
      </c>
      <c r="E313" s="34" t="s">
        <v>57</v>
      </c>
      <c r="F313" s="34">
        <v>1.0</v>
      </c>
      <c r="G313" s="34">
        <v>6.0</v>
      </c>
      <c r="H313" s="34" t="s">
        <v>29</v>
      </c>
      <c r="I313" s="34" t="s">
        <v>40</v>
      </c>
      <c r="J313" s="24"/>
      <c r="L313" s="34" t="s">
        <v>354</v>
      </c>
      <c r="M313" s="35" t="s">
        <v>781</v>
      </c>
      <c r="N313" s="24"/>
      <c r="O313" s="34" t="s">
        <v>126</v>
      </c>
      <c r="P313" s="34">
        <v>4.0</v>
      </c>
      <c r="Q313" s="36"/>
      <c r="R313" s="36"/>
      <c r="S313" s="36"/>
    </row>
    <row r="314" ht="15.75" customHeight="1">
      <c r="A314" s="33">
        <v>45359.2872728588</v>
      </c>
      <c r="B314" s="34" t="s">
        <v>465</v>
      </c>
      <c r="D314" s="34" t="s">
        <v>756</v>
      </c>
      <c r="E314" s="34" t="s">
        <v>782</v>
      </c>
      <c r="H314" s="34" t="s">
        <v>29</v>
      </c>
      <c r="J314" s="24"/>
      <c r="M314" s="24"/>
      <c r="N314" s="24"/>
    </row>
    <row r="315" ht="15.75" customHeight="1">
      <c r="A315" s="33">
        <v>45359.63088917824</v>
      </c>
      <c r="B315" s="34" t="s">
        <v>61</v>
      </c>
      <c r="C315" s="34" t="s">
        <v>350</v>
      </c>
      <c r="D315" s="34" t="s">
        <v>38</v>
      </c>
      <c r="E315" s="34" t="s">
        <v>783</v>
      </c>
      <c r="F315" s="34">
        <v>2.0</v>
      </c>
      <c r="G315" s="34">
        <v>16.0</v>
      </c>
      <c r="H315" s="34" t="s">
        <v>29</v>
      </c>
      <c r="I315" s="34" t="s">
        <v>40</v>
      </c>
      <c r="J315" s="24"/>
      <c r="K315" s="34" t="s">
        <v>784</v>
      </c>
      <c r="L315" s="34" t="s">
        <v>31</v>
      </c>
      <c r="M315" s="37" t="s">
        <v>109</v>
      </c>
      <c r="N315" s="37" t="s">
        <v>785</v>
      </c>
      <c r="O315" s="34" t="s">
        <v>40</v>
      </c>
      <c r="P315" s="34">
        <v>8.0</v>
      </c>
      <c r="Q315" s="36"/>
      <c r="R315" s="36"/>
      <c r="S315" s="36"/>
    </row>
    <row r="316" ht="15.75" customHeight="1">
      <c r="A316" s="33">
        <v>45362.844336678245</v>
      </c>
      <c r="B316" s="34" t="s">
        <v>465</v>
      </c>
      <c r="C316" s="34" t="s">
        <v>704</v>
      </c>
      <c r="D316" s="34" t="s">
        <v>27</v>
      </c>
      <c r="E316" s="34" t="s">
        <v>212</v>
      </c>
      <c r="F316" s="34">
        <v>1.0</v>
      </c>
      <c r="G316" s="34">
        <v>18.0</v>
      </c>
      <c r="H316" s="34" t="s">
        <v>29</v>
      </c>
      <c r="I316" s="34" t="s">
        <v>40</v>
      </c>
      <c r="J316" s="24"/>
      <c r="M316" s="24"/>
      <c r="N316" s="24"/>
      <c r="O316" s="34" t="s">
        <v>40</v>
      </c>
      <c r="P316" s="34">
        <v>16.0</v>
      </c>
      <c r="Q316" s="36"/>
      <c r="R316" s="36"/>
      <c r="S316" s="36"/>
    </row>
    <row r="317" ht="15.75" customHeight="1">
      <c r="A317" s="33">
        <v>45363.39858688657</v>
      </c>
      <c r="B317" s="34" t="s">
        <v>288</v>
      </c>
      <c r="C317" s="34" t="s">
        <v>704</v>
      </c>
      <c r="D317" s="34" t="s">
        <v>38</v>
      </c>
      <c r="E317" s="34" t="s">
        <v>786</v>
      </c>
      <c r="F317" s="34">
        <v>1.0</v>
      </c>
      <c r="G317" s="34">
        <v>18.0</v>
      </c>
      <c r="H317" s="34" t="s">
        <v>29</v>
      </c>
      <c r="I317" s="34" t="s">
        <v>40</v>
      </c>
      <c r="J317" s="24"/>
      <c r="L317" s="34" t="s">
        <v>608</v>
      </c>
      <c r="M317" s="37" t="s">
        <v>787</v>
      </c>
      <c r="N317" s="37" t="s">
        <v>788</v>
      </c>
      <c r="O317" s="34" t="s">
        <v>40</v>
      </c>
      <c r="P317" s="34">
        <v>16.0</v>
      </c>
      <c r="Q317" s="36"/>
      <c r="R317" s="36"/>
      <c r="S317" s="36"/>
    </row>
    <row r="318" ht="15.75" customHeight="1">
      <c r="A318" s="33">
        <v>45363.445764108794</v>
      </c>
      <c r="B318" s="34" t="s">
        <v>82</v>
      </c>
      <c r="C318" s="34" t="s">
        <v>26</v>
      </c>
      <c r="D318" s="34" t="s">
        <v>789</v>
      </c>
      <c r="E318" s="34" t="s">
        <v>790</v>
      </c>
      <c r="F318" s="34">
        <v>2.0</v>
      </c>
      <c r="G318" s="34">
        <v>16.0</v>
      </c>
      <c r="H318" s="34" t="s">
        <v>40</v>
      </c>
      <c r="I318" s="34" t="s">
        <v>40</v>
      </c>
      <c r="J318" s="24"/>
      <c r="M318" s="24"/>
      <c r="N318" s="24"/>
      <c r="O318" s="34" t="s">
        <v>126</v>
      </c>
      <c r="P318" s="34">
        <v>8.0</v>
      </c>
      <c r="Q318" s="36"/>
      <c r="R318" s="36"/>
      <c r="S318" s="36"/>
    </row>
    <row r="319" ht="15.75" customHeight="1">
      <c r="A319" s="33">
        <v>45366.33090424769</v>
      </c>
      <c r="B319" s="34" t="s">
        <v>124</v>
      </c>
      <c r="C319" s="34" t="s">
        <v>26</v>
      </c>
      <c r="D319" s="34" t="s">
        <v>27</v>
      </c>
      <c r="E319" s="34" t="s">
        <v>231</v>
      </c>
      <c r="F319" s="34">
        <v>1.0</v>
      </c>
      <c r="G319" s="34">
        <v>10.0</v>
      </c>
      <c r="H319" s="34" t="s">
        <v>40</v>
      </c>
      <c r="I319" s="34" t="s">
        <v>40</v>
      </c>
      <c r="J319" s="24"/>
      <c r="L319" s="34" t="s">
        <v>140</v>
      </c>
      <c r="M319" s="37" t="s">
        <v>791</v>
      </c>
      <c r="N319" s="24"/>
      <c r="O319" s="34" t="s">
        <v>40</v>
      </c>
      <c r="P319" s="34">
        <v>8.0</v>
      </c>
      <c r="Q319" s="36"/>
      <c r="R319" s="36"/>
      <c r="S319" s="36"/>
    </row>
    <row r="320" ht="15.75" customHeight="1">
      <c r="A320" s="33">
        <v>45366.4048930787</v>
      </c>
      <c r="B320" s="34" t="s">
        <v>124</v>
      </c>
      <c r="C320" s="34" t="s">
        <v>26</v>
      </c>
      <c r="D320" s="34" t="s">
        <v>38</v>
      </c>
      <c r="E320" s="34" t="s">
        <v>649</v>
      </c>
      <c r="F320" s="34">
        <v>1.0</v>
      </c>
      <c r="G320" s="34">
        <v>10.0</v>
      </c>
      <c r="H320" s="34" t="s">
        <v>29</v>
      </c>
      <c r="I320" s="34" t="s">
        <v>40</v>
      </c>
      <c r="J320" s="24"/>
      <c r="L320" s="34" t="s">
        <v>140</v>
      </c>
      <c r="M320" s="37" t="s">
        <v>791</v>
      </c>
      <c r="N320" s="24"/>
      <c r="O320" s="34" t="s">
        <v>40</v>
      </c>
      <c r="P320" s="34">
        <v>8.0</v>
      </c>
      <c r="Q320" s="36"/>
      <c r="R320" s="36"/>
      <c r="S320" s="36"/>
    </row>
    <row r="321" ht="15.75" customHeight="1">
      <c r="A321" s="33">
        <v>45368.874915023145</v>
      </c>
      <c r="B321" s="34" t="s">
        <v>465</v>
      </c>
      <c r="C321" s="34" t="s">
        <v>544</v>
      </c>
      <c r="D321" s="34" t="s">
        <v>792</v>
      </c>
      <c r="E321" s="34" t="s">
        <v>793</v>
      </c>
      <c r="F321" s="34">
        <v>1.0</v>
      </c>
      <c r="G321" s="34">
        <v>18.0</v>
      </c>
      <c r="H321" s="34" t="s">
        <v>40</v>
      </c>
      <c r="I321" s="34" t="s">
        <v>40</v>
      </c>
      <c r="J321" s="24"/>
      <c r="M321" s="24"/>
      <c r="N321" s="24"/>
      <c r="O321" s="34" t="s">
        <v>40</v>
      </c>
      <c r="P321" s="34">
        <v>16.0</v>
      </c>
      <c r="Q321" s="36"/>
      <c r="R321" s="36"/>
      <c r="S321" s="36"/>
    </row>
    <row r="322" ht="15.75" customHeight="1">
      <c r="A322" s="33">
        <v>45369.916266886576</v>
      </c>
      <c r="B322" s="34" t="s">
        <v>465</v>
      </c>
      <c r="D322" s="34" t="s">
        <v>38</v>
      </c>
      <c r="E322" s="34" t="s">
        <v>57</v>
      </c>
      <c r="F322" s="34">
        <v>1.0</v>
      </c>
      <c r="G322" s="34">
        <v>2.0</v>
      </c>
      <c r="H322" s="34" t="s">
        <v>40</v>
      </c>
      <c r="I322" s="34" t="s">
        <v>40</v>
      </c>
      <c r="J322" s="24"/>
      <c r="L322" s="34" t="s">
        <v>103</v>
      </c>
      <c r="M322" s="35" t="s">
        <v>122</v>
      </c>
      <c r="N322" s="24"/>
      <c r="O322" s="34" t="s">
        <v>126</v>
      </c>
      <c r="P322" s="34">
        <v>4.0</v>
      </c>
      <c r="Q322" s="36"/>
      <c r="R322" s="36"/>
      <c r="S322" s="36"/>
    </row>
    <row r="323" ht="15.75" customHeight="1">
      <c r="A323" s="33">
        <v>45377.58571532408</v>
      </c>
      <c r="B323" s="34" t="s">
        <v>74</v>
      </c>
      <c r="C323" s="34" t="s">
        <v>704</v>
      </c>
      <c r="D323" s="34" t="s">
        <v>27</v>
      </c>
      <c r="E323" s="34" t="s">
        <v>794</v>
      </c>
      <c r="F323" s="34">
        <v>2.0</v>
      </c>
      <c r="G323" s="34">
        <v>8.0</v>
      </c>
      <c r="H323" s="34" t="s">
        <v>29</v>
      </c>
      <c r="I323" s="34" t="s">
        <v>40</v>
      </c>
      <c r="J323" s="24"/>
      <c r="L323" s="34" t="s">
        <v>354</v>
      </c>
      <c r="M323" s="35" t="s">
        <v>653</v>
      </c>
      <c r="N323" s="37" t="s">
        <v>795</v>
      </c>
      <c r="O323" s="34" t="s">
        <v>40</v>
      </c>
      <c r="P323" s="34">
        <v>4.0</v>
      </c>
      <c r="Q323" s="36"/>
      <c r="R323" s="36"/>
      <c r="S323" s="36"/>
    </row>
    <row r="324" ht="15.75" customHeight="1">
      <c r="A324" s="33">
        <v>45378.56327888889</v>
      </c>
      <c r="B324" s="34" t="s">
        <v>470</v>
      </c>
      <c r="C324" s="34" t="s">
        <v>704</v>
      </c>
      <c r="D324" s="34" t="s">
        <v>27</v>
      </c>
      <c r="E324" s="34" t="s">
        <v>796</v>
      </c>
      <c r="F324" s="34">
        <v>1.0</v>
      </c>
      <c r="G324" s="34">
        <v>18.0</v>
      </c>
      <c r="H324" s="34" t="s">
        <v>29</v>
      </c>
      <c r="I324" s="34" t="s">
        <v>40</v>
      </c>
      <c r="J324" s="37" t="s">
        <v>797</v>
      </c>
      <c r="K324" s="34" t="s">
        <v>798</v>
      </c>
      <c r="L324" s="34" t="s">
        <v>103</v>
      </c>
      <c r="M324" s="35" t="s">
        <v>122</v>
      </c>
      <c r="N324" s="37" t="s">
        <v>799</v>
      </c>
      <c r="O324" s="34" t="s">
        <v>29</v>
      </c>
      <c r="P324" s="34">
        <v>16.0</v>
      </c>
      <c r="Q324" s="36"/>
      <c r="R324" s="36"/>
      <c r="S324" s="36"/>
    </row>
    <row r="325" ht="15.75" customHeight="1">
      <c r="A325" s="33">
        <v>45379.39837775463</v>
      </c>
      <c r="B325" s="34" t="s">
        <v>2</v>
      </c>
      <c r="C325" s="34" t="s">
        <v>704</v>
      </c>
      <c r="D325" s="34" t="s">
        <v>127</v>
      </c>
      <c r="E325" s="34" t="s">
        <v>800</v>
      </c>
      <c r="F325" s="34">
        <v>2.0</v>
      </c>
      <c r="G325" s="34">
        <v>16.0</v>
      </c>
      <c r="H325" s="34" t="s">
        <v>29</v>
      </c>
      <c r="I325" s="34" t="s">
        <v>40</v>
      </c>
      <c r="J325" s="24"/>
      <c r="L325" s="34" t="s">
        <v>111</v>
      </c>
      <c r="M325" s="35" t="s">
        <v>50</v>
      </c>
      <c r="N325" s="37" t="s">
        <v>801</v>
      </c>
      <c r="O325" s="34" t="s">
        <v>29</v>
      </c>
      <c r="P325" s="34">
        <v>8.0</v>
      </c>
      <c r="Q325" s="36"/>
      <c r="R325" s="36"/>
      <c r="S325" s="36"/>
    </row>
    <row r="326" ht="15.75" customHeight="1">
      <c r="A326" s="33">
        <v>45380.02491815972</v>
      </c>
      <c r="B326" s="34" t="s">
        <v>2</v>
      </c>
      <c r="C326" s="34" t="s">
        <v>704</v>
      </c>
      <c r="D326" s="34" t="s">
        <v>565</v>
      </c>
      <c r="E326" s="34" t="s">
        <v>566</v>
      </c>
      <c r="F326" s="34">
        <v>2.0</v>
      </c>
      <c r="G326" s="34">
        <v>32.0</v>
      </c>
      <c r="H326" s="34" t="s">
        <v>29</v>
      </c>
      <c r="I326" s="34" t="s">
        <v>40</v>
      </c>
      <c r="J326" s="37" t="s">
        <v>802</v>
      </c>
      <c r="K326" s="34" t="s">
        <v>803</v>
      </c>
      <c r="L326" s="34" t="s">
        <v>136</v>
      </c>
      <c r="M326" s="35" t="s">
        <v>137</v>
      </c>
      <c r="N326" s="24"/>
      <c r="O326" s="34" t="s">
        <v>29</v>
      </c>
      <c r="P326" s="34">
        <v>16.0</v>
      </c>
      <c r="Q326" s="36"/>
      <c r="R326" s="36"/>
      <c r="S326" s="36"/>
    </row>
    <row r="327" ht="15.75" customHeight="1">
      <c r="A327" s="33">
        <v>45380.35349663194</v>
      </c>
      <c r="B327" s="34" t="s">
        <v>465</v>
      </c>
      <c r="C327" s="34" t="s">
        <v>704</v>
      </c>
      <c r="D327" s="34" t="s">
        <v>119</v>
      </c>
      <c r="E327" s="34" t="s">
        <v>120</v>
      </c>
      <c r="F327" s="34">
        <v>1.0</v>
      </c>
      <c r="G327" s="34">
        <v>10.0</v>
      </c>
      <c r="H327" s="34" t="s">
        <v>29</v>
      </c>
      <c r="I327" s="34" t="s">
        <v>40</v>
      </c>
      <c r="J327" s="37" t="s">
        <v>804</v>
      </c>
      <c r="L327" s="34" t="s">
        <v>443</v>
      </c>
      <c r="M327" s="37" t="s">
        <v>805</v>
      </c>
      <c r="N327" s="24"/>
      <c r="O327" s="34" t="s">
        <v>40</v>
      </c>
      <c r="P327" s="34">
        <v>8.0</v>
      </c>
      <c r="Q327" s="36"/>
      <c r="R327" s="36"/>
      <c r="S327" s="36"/>
    </row>
    <row r="328" ht="15.75" customHeight="1">
      <c r="A328" s="33">
        <v>45382.56063849537</v>
      </c>
      <c r="B328" s="34" t="s">
        <v>45</v>
      </c>
      <c r="C328" s="34" t="s">
        <v>704</v>
      </c>
      <c r="D328" s="34" t="s">
        <v>38</v>
      </c>
      <c r="E328" s="34" t="s">
        <v>806</v>
      </c>
      <c r="F328" s="34">
        <v>1.0</v>
      </c>
      <c r="G328" s="34">
        <v>16.0</v>
      </c>
      <c r="H328" s="34" t="s">
        <v>29</v>
      </c>
      <c r="I328" s="34" t="s">
        <v>40</v>
      </c>
      <c r="J328" s="37" t="s">
        <v>807</v>
      </c>
      <c r="L328" s="34" t="s">
        <v>808</v>
      </c>
      <c r="M328" s="37" t="s">
        <v>809</v>
      </c>
      <c r="N328" s="24"/>
      <c r="O328" s="34" t="s">
        <v>29</v>
      </c>
      <c r="P328" s="34">
        <v>16.0</v>
      </c>
      <c r="Q328" s="36"/>
      <c r="R328" s="36"/>
      <c r="S328" s="36"/>
    </row>
    <row r="329" ht="15.75" customHeight="1">
      <c r="A329" s="33">
        <v>45385.925915995365</v>
      </c>
      <c r="B329" s="34" t="s">
        <v>36</v>
      </c>
      <c r="D329" s="34" t="s">
        <v>119</v>
      </c>
      <c r="E329" s="34" t="s">
        <v>473</v>
      </c>
      <c r="H329" s="34" t="s">
        <v>29</v>
      </c>
      <c r="I329" s="34" t="s">
        <v>40</v>
      </c>
      <c r="J329" s="24"/>
      <c r="M329" s="24"/>
      <c r="N329" s="24"/>
    </row>
    <row r="330" ht="15.75" customHeight="1">
      <c r="A330" s="33">
        <v>45386.83728225694</v>
      </c>
      <c r="B330" s="34" t="s">
        <v>465</v>
      </c>
      <c r="C330" s="34" t="s">
        <v>704</v>
      </c>
      <c r="D330" s="34" t="s">
        <v>27</v>
      </c>
      <c r="E330" s="34" t="s">
        <v>810</v>
      </c>
      <c r="F330" s="34">
        <v>1.0</v>
      </c>
      <c r="G330" s="34">
        <v>18.0</v>
      </c>
      <c r="H330" s="34" t="s">
        <v>40</v>
      </c>
      <c r="J330" s="37" t="s">
        <v>435</v>
      </c>
      <c r="L330" s="34" t="s">
        <v>219</v>
      </c>
      <c r="M330" s="24"/>
      <c r="N330" s="37"/>
      <c r="O330" s="34" t="s">
        <v>40</v>
      </c>
      <c r="P330" s="34">
        <v>16.0</v>
      </c>
      <c r="Q330" s="36"/>
      <c r="R330" s="36"/>
      <c r="S330" s="36"/>
    </row>
    <row r="331" ht="15.75" customHeight="1">
      <c r="A331" s="33">
        <v>45387.28165467593</v>
      </c>
      <c r="B331" s="34" t="s">
        <v>465</v>
      </c>
      <c r="C331" s="34" t="s">
        <v>704</v>
      </c>
      <c r="D331" s="34" t="s">
        <v>38</v>
      </c>
      <c r="E331" s="34" t="s">
        <v>59</v>
      </c>
      <c r="F331" s="34">
        <v>1.0</v>
      </c>
      <c r="G331" s="34">
        <v>18.0</v>
      </c>
      <c r="H331" s="34" t="s">
        <v>40</v>
      </c>
      <c r="I331" s="34" t="s">
        <v>40</v>
      </c>
      <c r="J331" s="37" t="s">
        <v>811</v>
      </c>
      <c r="M331" s="37" t="s">
        <v>210</v>
      </c>
      <c r="N331" s="24"/>
      <c r="O331" s="34" t="s">
        <v>126</v>
      </c>
      <c r="P331" s="34">
        <v>16.0</v>
      </c>
      <c r="Q331" s="36"/>
      <c r="R331" s="36"/>
      <c r="S331" s="36"/>
    </row>
    <row r="332" ht="15.75" customHeight="1">
      <c r="A332" s="33">
        <v>45389.82921818287</v>
      </c>
      <c r="B332" s="34" t="s">
        <v>465</v>
      </c>
      <c r="C332" s="34" t="s">
        <v>26</v>
      </c>
      <c r="D332" s="34" t="s">
        <v>119</v>
      </c>
      <c r="E332" s="34" t="s">
        <v>812</v>
      </c>
      <c r="F332" s="34">
        <v>1.0</v>
      </c>
      <c r="G332" s="34">
        <v>18.0</v>
      </c>
      <c r="H332" s="34" t="s">
        <v>29</v>
      </c>
      <c r="I332" s="34" t="s">
        <v>40</v>
      </c>
      <c r="J332" s="24"/>
      <c r="L332" s="34" t="s">
        <v>111</v>
      </c>
      <c r="M332" s="37" t="s">
        <v>210</v>
      </c>
      <c r="N332" s="37" t="s">
        <v>813</v>
      </c>
      <c r="O332" s="34" t="s">
        <v>40</v>
      </c>
      <c r="P332" s="34">
        <v>16.0</v>
      </c>
      <c r="Q332" s="36"/>
      <c r="R332" s="36"/>
      <c r="S332" s="36"/>
    </row>
    <row r="333" ht="15.75" customHeight="1">
      <c r="A333" s="33">
        <v>45389.98461525463</v>
      </c>
      <c r="B333" s="34" t="s">
        <v>288</v>
      </c>
      <c r="C333" s="34" t="s">
        <v>704</v>
      </c>
      <c r="D333" s="34" t="s">
        <v>38</v>
      </c>
      <c r="E333" s="34" t="s">
        <v>153</v>
      </c>
      <c r="F333" s="34">
        <v>1.0</v>
      </c>
      <c r="G333" s="34">
        <v>10.0</v>
      </c>
      <c r="H333" s="34" t="s">
        <v>29</v>
      </c>
      <c r="I333" s="34" t="s">
        <v>40</v>
      </c>
      <c r="J333" s="24"/>
      <c r="L333" s="34" t="s">
        <v>420</v>
      </c>
      <c r="M333" s="35" t="s">
        <v>421</v>
      </c>
      <c r="N333" s="37" t="s">
        <v>814</v>
      </c>
      <c r="O333" s="34" t="s">
        <v>40</v>
      </c>
      <c r="P333" s="34">
        <v>8.0</v>
      </c>
      <c r="Q333" s="36"/>
      <c r="R333" s="36"/>
      <c r="S333" s="36"/>
    </row>
    <row r="334" ht="15.75" customHeight="1">
      <c r="A334" s="33">
        <v>45390.05540118055</v>
      </c>
      <c r="B334" s="34" t="s">
        <v>2</v>
      </c>
      <c r="C334" s="34" t="s">
        <v>704</v>
      </c>
      <c r="D334" s="34" t="s">
        <v>27</v>
      </c>
      <c r="E334" s="34" t="s">
        <v>696</v>
      </c>
      <c r="F334" s="34">
        <v>2.0</v>
      </c>
      <c r="G334" s="34">
        <v>32.0</v>
      </c>
      <c r="H334" s="34" t="s">
        <v>29</v>
      </c>
      <c r="I334" s="34" t="s">
        <v>40</v>
      </c>
      <c r="J334" s="37"/>
      <c r="K334" s="34" t="s">
        <v>815</v>
      </c>
      <c r="L334" s="34" t="s">
        <v>103</v>
      </c>
      <c r="M334" s="35" t="s">
        <v>399</v>
      </c>
      <c r="N334" s="37" t="s">
        <v>816</v>
      </c>
      <c r="O334" s="34" t="s">
        <v>29</v>
      </c>
      <c r="P334" s="34">
        <v>16.0</v>
      </c>
      <c r="Q334" s="36"/>
      <c r="R334" s="36"/>
      <c r="S334" s="36"/>
    </row>
    <row r="335" ht="15.75" customHeight="1">
      <c r="A335" s="33">
        <v>45391.6118828125</v>
      </c>
      <c r="B335" s="34" t="s">
        <v>465</v>
      </c>
      <c r="C335" s="34" t="s">
        <v>704</v>
      </c>
      <c r="D335" s="34" t="s">
        <v>38</v>
      </c>
      <c r="E335" s="34" t="s">
        <v>57</v>
      </c>
      <c r="F335" s="34">
        <v>1.0</v>
      </c>
      <c r="G335" s="34">
        <v>6.0</v>
      </c>
      <c r="H335" s="34" t="s">
        <v>29</v>
      </c>
      <c r="I335" s="34" t="s">
        <v>40</v>
      </c>
      <c r="J335" s="37" t="s">
        <v>817</v>
      </c>
      <c r="L335" s="34" t="s">
        <v>436</v>
      </c>
      <c r="M335" s="24"/>
      <c r="N335" s="37" t="s">
        <v>818</v>
      </c>
      <c r="O335" s="34" t="s">
        <v>40</v>
      </c>
      <c r="P335" s="34">
        <v>4.0</v>
      </c>
      <c r="Q335" s="36"/>
      <c r="R335" s="36"/>
      <c r="S335" s="36"/>
    </row>
    <row r="336" ht="15.75" customHeight="1">
      <c r="A336" s="33">
        <v>45391.898201724536</v>
      </c>
      <c r="B336" s="34" t="s">
        <v>66</v>
      </c>
      <c r="C336" s="34" t="s">
        <v>26</v>
      </c>
      <c r="D336" s="34" t="s">
        <v>101</v>
      </c>
      <c r="E336" s="34" t="s">
        <v>819</v>
      </c>
      <c r="F336" s="34">
        <v>1.0</v>
      </c>
      <c r="G336" s="34">
        <v>6.0</v>
      </c>
      <c r="H336" s="34" t="s">
        <v>29</v>
      </c>
      <c r="I336" s="34" t="s">
        <v>29</v>
      </c>
      <c r="J336" s="37" t="s">
        <v>820</v>
      </c>
      <c r="K336" s="34" t="s">
        <v>821</v>
      </c>
      <c r="L336" s="34" t="s">
        <v>111</v>
      </c>
      <c r="M336" s="35" t="s">
        <v>631</v>
      </c>
      <c r="N336" s="24"/>
      <c r="O336" s="34" t="s">
        <v>40</v>
      </c>
      <c r="P336" s="34">
        <v>4.0</v>
      </c>
      <c r="Q336" s="36"/>
      <c r="R336" s="36"/>
      <c r="S336" s="36"/>
    </row>
    <row r="337" ht="15.75" customHeight="1">
      <c r="A337" s="33">
        <v>45393.015661446756</v>
      </c>
      <c r="B337" s="34" t="s">
        <v>465</v>
      </c>
      <c r="C337" s="34" t="s">
        <v>704</v>
      </c>
      <c r="D337" s="34" t="s">
        <v>119</v>
      </c>
      <c r="E337" s="34" t="s">
        <v>120</v>
      </c>
      <c r="F337" s="34">
        <v>1.0</v>
      </c>
      <c r="G337" s="34">
        <v>10.0</v>
      </c>
      <c r="H337" s="34" t="s">
        <v>29</v>
      </c>
      <c r="I337" s="34" t="s">
        <v>40</v>
      </c>
      <c r="J337" s="24"/>
      <c r="M337" s="37" t="s">
        <v>210</v>
      </c>
      <c r="N337" s="24"/>
      <c r="O337" s="34" t="s">
        <v>126</v>
      </c>
      <c r="P337" s="34">
        <v>8.0</v>
      </c>
      <c r="Q337" s="36"/>
      <c r="R337" s="36"/>
      <c r="S337" s="36"/>
    </row>
    <row r="338" ht="15.75" customHeight="1">
      <c r="A338" s="33">
        <v>45395.929042303236</v>
      </c>
      <c r="B338" s="34" t="s">
        <v>822</v>
      </c>
      <c r="C338" s="34" t="s">
        <v>704</v>
      </c>
      <c r="D338" s="34" t="s">
        <v>38</v>
      </c>
      <c r="E338" s="34" t="s">
        <v>823</v>
      </c>
      <c r="F338" s="34">
        <v>1.0</v>
      </c>
      <c r="G338" s="34">
        <v>10.0</v>
      </c>
      <c r="H338" s="34" t="s">
        <v>29</v>
      </c>
      <c r="I338" s="34" t="s">
        <v>40</v>
      </c>
      <c r="J338" s="24"/>
      <c r="K338" s="34" t="s">
        <v>824</v>
      </c>
      <c r="L338" s="34" t="s">
        <v>111</v>
      </c>
      <c r="M338" s="35" t="s">
        <v>50</v>
      </c>
      <c r="N338" s="37" t="s">
        <v>825</v>
      </c>
      <c r="O338" s="34" t="s">
        <v>40</v>
      </c>
      <c r="P338" s="34">
        <v>8.0</v>
      </c>
      <c r="Q338" s="36"/>
      <c r="R338" s="36"/>
      <c r="S338" s="36"/>
    </row>
    <row r="339" ht="15.75" customHeight="1">
      <c r="A339" s="33">
        <v>45398.14709111111</v>
      </c>
      <c r="B339" s="34" t="s">
        <v>826</v>
      </c>
      <c r="D339" s="34" t="s">
        <v>101</v>
      </c>
      <c r="E339" s="34" t="s">
        <v>827</v>
      </c>
      <c r="F339" s="34">
        <v>2.0</v>
      </c>
      <c r="G339" s="34">
        <v>8.0</v>
      </c>
      <c r="H339" s="34" t="s">
        <v>29</v>
      </c>
      <c r="I339" s="34" t="s">
        <v>29</v>
      </c>
      <c r="J339" s="24"/>
      <c r="M339" s="37" t="s">
        <v>279</v>
      </c>
      <c r="N339" s="24"/>
      <c r="O339" s="34" t="s">
        <v>40</v>
      </c>
      <c r="P339" s="34">
        <v>4.0</v>
      </c>
      <c r="Q339" s="36"/>
      <c r="R339" s="36"/>
      <c r="S339" s="36"/>
    </row>
    <row r="340" ht="15.75" customHeight="1">
      <c r="A340" s="33">
        <v>45398.3368993287</v>
      </c>
      <c r="B340" s="34" t="s">
        <v>465</v>
      </c>
      <c r="C340" s="34" t="s">
        <v>704</v>
      </c>
      <c r="D340" s="34" t="s">
        <v>38</v>
      </c>
      <c r="E340" s="34" t="s">
        <v>368</v>
      </c>
      <c r="F340" s="34">
        <v>1.0</v>
      </c>
      <c r="G340" s="34">
        <v>18.0</v>
      </c>
      <c r="H340" s="34" t="s">
        <v>40</v>
      </c>
      <c r="I340" s="34" t="s">
        <v>40</v>
      </c>
      <c r="J340" s="24"/>
      <c r="L340" s="34" t="s">
        <v>93</v>
      </c>
      <c r="M340" s="35" t="s">
        <v>50</v>
      </c>
      <c r="N340" s="24"/>
      <c r="O340" s="34" t="s">
        <v>40</v>
      </c>
      <c r="P340" s="34">
        <v>16.0</v>
      </c>
      <c r="Q340" s="36"/>
      <c r="R340" s="36"/>
      <c r="S340" s="36"/>
    </row>
    <row r="341" ht="15.75" customHeight="1">
      <c r="A341" s="33">
        <v>45402.690907337965</v>
      </c>
      <c r="B341" s="34" t="s">
        <v>288</v>
      </c>
      <c r="C341" s="34" t="s">
        <v>704</v>
      </c>
      <c r="D341" s="34" t="s">
        <v>86</v>
      </c>
      <c r="E341" s="34" t="s">
        <v>828</v>
      </c>
      <c r="F341" s="34">
        <v>1.0</v>
      </c>
      <c r="G341" s="34">
        <v>18.0</v>
      </c>
      <c r="H341" s="34" t="s">
        <v>40</v>
      </c>
      <c r="J341" s="37" t="s">
        <v>829</v>
      </c>
      <c r="L341" s="34" t="s">
        <v>111</v>
      </c>
      <c r="M341" s="37" t="s">
        <v>830</v>
      </c>
      <c r="N341" s="24"/>
      <c r="O341" s="34" t="s">
        <v>40</v>
      </c>
      <c r="P341" s="34">
        <v>16.0</v>
      </c>
      <c r="Q341" s="36"/>
      <c r="R341" s="36"/>
      <c r="S341" s="36"/>
    </row>
    <row r="342" ht="15.75" customHeight="1">
      <c r="A342" s="33">
        <v>45403.49460839121</v>
      </c>
      <c r="B342" s="34" t="s">
        <v>831</v>
      </c>
      <c r="C342" s="34" t="s">
        <v>832</v>
      </c>
      <c r="D342" s="34" t="s">
        <v>119</v>
      </c>
      <c r="E342" s="34" t="s">
        <v>833</v>
      </c>
      <c r="F342" s="34">
        <v>1.0</v>
      </c>
      <c r="G342" s="34">
        <v>16.0</v>
      </c>
      <c r="H342" s="34" t="s">
        <v>29</v>
      </c>
      <c r="I342" s="34" t="s">
        <v>40</v>
      </c>
      <c r="J342" s="37" t="s">
        <v>834</v>
      </c>
      <c r="L342" s="34" t="s">
        <v>835</v>
      </c>
      <c r="M342" s="37" t="s">
        <v>836</v>
      </c>
      <c r="N342" s="24"/>
      <c r="O342" s="34" t="s">
        <v>40</v>
      </c>
      <c r="P342" s="34">
        <v>8.0</v>
      </c>
      <c r="Q342" s="36"/>
      <c r="R342" s="36"/>
      <c r="S342" s="36"/>
    </row>
    <row r="343" ht="15.75" customHeight="1">
      <c r="A343" s="33">
        <v>45403.49714290509</v>
      </c>
      <c r="B343" s="34" t="s">
        <v>831</v>
      </c>
      <c r="C343" s="34" t="s">
        <v>832</v>
      </c>
      <c r="D343" s="34" t="s">
        <v>119</v>
      </c>
      <c r="E343" s="34" t="s">
        <v>837</v>
      </c>
      <c r="F343" s="34">
        <v>1.0</v>
      </c>
      <c r="G343" s="34">
        <v>16.0</v>
      </c>
      <c r="H343" s="34" t="s">
        <v>29</v>
      </c>
      <c r="I343" s="34" t="s">
        <v>40</v>
      </c>
      <c r="J343" s="37" t="s">
        <v>838</v>
      </c>
      <c r="L343" s="34" t="s">
        <v>835</v>
      </c>
      <c r="M343" s="37" t="s">
        <v>839</v>
      </c>
      <c r="N343" s="37" t="s">
        <v>840</v>
      </c>
      <c r="O343" s="34" t="s">
        <v>40</v>
      </c>
      <c r="P343" s="34">
        <v>8.0</v>
      </c>
      <c r="Q343" s="36"/>
      <c r="R343" s="36"/>
      <c r="S343" s="36"/>
    </row>
    <row r="344" ht="15.75" customHeight="1">
      <c r="A344" s="33">
        <v>45404.88295875</v>
      </c>
      <c r="B344" s="34" t="s">
        <v>288</v>
      </c>
      <c r="C344" s="34" t="s">
        <v>704</v>
      </c>
      <c r="D344" s="34" t="s">
        <v>671</v>
      </c>
      <c r="E344" s="34" t="s">
        <v>672</v>
      </c>
      <c r="F344" s="34">
        <v>1.0</v>
      </c>
      <c r="G344" s="34">
        <v>18.0</v>
      </c>
      <c r="H344" s="34" t="s">
        <v>29</v>
      </c>
      <c r="I344" s="34" t="s">
        <v>40</v>
      </c>
      <c r="J344" s="24"/>
      <c r="L344" s="34" t="s">
        <v>31</v>
      </c>
      <c r="M344" s="35" t="s">
        <v>230</v>
      </c>
      <c r="N344" s="24"/>
      <c r="O344" s="34" t="s">
        <v>40</v>
      </c>
      <c r="P344" s="34">
        <v>16.0</v>
      </c>
      <c r="Q344" s="36"/>
      <c r="R344" s="36"/>
      <c r="S344" s="36"/>
    </row>
    <row r="345" ht="15.75" customHeight="1">
      <c r="A345" s="33">
        <v>45406.37483908565</v>
      </c>
      <c r="B345" s="34" t="s">
        <v>465</v>
      </c>
      <c r="C345" s="34" t="s">
        <v>841</v>
      </c>
      <c r="D345" s="34" t="s">
        <v>38</v>
      </c>
      <c r="E345" s="34" t="s">
        <v>39</v>
      </c>
      <c r="F345" s="34">
        <v>1.0</v>
      </c>
      <c r="G345" s="34">
        <v>18.0</v>
      </c>
      <c r="H345" s="34" t="s">
        <v>29</v>
      </c>
      <c r="I345" s="34" t="s">
        <v>40</v>
      </c>
      <c r="J345" s="37" t="s">
        <v>842</v>
      </c>
      <c r="K345" s="34" t="s">
        <v>843</v>
      </c>
      <c r="L345" s="34" t="s">
        <v>136</v>
      </c>
      <c r="M345" s="35" t="s">
        <v>217</v>
      </c>
      <c r="N345" s="37" t="s">
        <v>844</v>
      </c>
      <c r="O345" s="34" t="s">
        <v>40</v>
      </c>
      <c r="P345" s="34">
        <v>16.0</v>
      </c>
      <c r="Q345" s="36"/>
      <c r="R345" s="36"/>
      <c r="S345" s="36"/>
    </row>
    <row r="346" ht="15.75" customHeight="1">
      <c r="A346" s="33">
        <v>45406.37708790509</v>
      </c>
      <c r="B346" s="34" t="s">
        <v>465</v>
      </c>
      <c r="C346" s="34" t="s">
        <v>841</v>
      </c>
      <c r="D346" s="34" t="s">
        <v>716</v>
      </c>
      <c r="E346" s="34" t="s">
        <v>845</v>
      </c>
      <c r="F346" s="34">
        <v>1.0</v>
      </c>
      <c r="G346" s="34">
        <v>18.0</v>
      </c>
      <c r="H346" s="34" t="s">
        <v>29</v>
      </c>
      <c r="I346" s="34" t="s">
        <v>40</v>
      </c>
      <c r="J346" s="37" t="s">
        <v>846</v>
      </c>
      <c r="K346" s="34" t="s">
        <v>843</v>
      </c>
      <c r="L346" s="34" t="s">
        <v>136</v>
      </c>
      <c r="M346" s="35" t="s">
        <v>217</v>
      </c>
      <c r="N346" s="37" t="s">
        <v>847</v>
      </c>
      <c r="O346" s="34" t="s">
        <v>40</v>
      </c>
      <c r="P346" s="34">
        <v>16.0</v>
      </c>
      <c r="Q346" s="36"/>
      <c r="R346" s="36"/>
      <c r="S346" s="36"/>
    </row>
    <row r="347" ht="15.75" customHeight="1">
      <c r="A347" s="33">
        <v>45407.50605952546</v>
      </c>
      <c r="B347" s="34" t="s">
        <v>288</v>
      </c>
      <c r="C347" s="34" t="s">
        <v>841</v>
      </c>
      <c r="D347" s="34" t="s">
        <v>27</v>
      </c>
      <c r="E347" s="34" t="s">
        <v>157</v>
      </c>
      <c r="F347" s="34">
        <v>1.0</v>
      </c>
      <c r="G347" s="34">
        <v>18.0</v>
      </c>
      <c r="H347" s="34" t="s">
        <v>29</v>
      </c>
      <c r="I347" s="34" t="s">
        <v>40</v>
      </c>
      <c r="J347" s="37" t="s">
        <v>848</v>
      </c>
      <c r="L347" s="34" t="s">
        <v>622</v>
      </c>
      <c r="M347" s="35" t="s">
        <v>849</v>
      </c>
      <c r="N347" s="24"/>
      <c r="O347" s="34" t="s">
        <v>40</v>
      </c>
      <c r="P347" s="34">
        <v>16.0</v>
      </c>
      <c r="Q347" s="36"/>
      <c r="R347" s="36"/>
      <c r="S347" s="36"/>
    </row>
    <row r="348" ht="15.75" customHeight="1">
      <c r="A348" s="33">
        <v>45409.02481920139</v>
      </c>
      <c r="B348" s="34" t="s">
        <v>169</v>
      </c>
      <c r="C348" s="34" t="s">
        <v>841</v>
      </c>
      <c r="D348" s="34" t="s">
        <v>47</v>
      </c>
      <c r="E348" s="34" t="s">
        <v>48</v>
      </c>
      <c r="F348" s="34">
        <v>2.0</v>
      </c>
      <c r="G348" s="34">
        <v>32.0</v>
      </c>
      <c r="H348" s="34" t="s">
        <v>29</v>
      </c>
      <c r="I348" s="34" t="s">
        <v>40</v>
      </c>
      <c r="J348" s="24"/>
      <c r="K348" s="34" t="s">
        <v>850</v>
      </c>
      <c r="L348" s="34" t="s">
        <v>111</v>
      </c>
      <c r="M348" s="35" t="s">
        <v>50</v>
      </c>
      <c r="N348" s="37" t="s">
        <v>851</v>
      </c>
      <c r="O348" s="34" t="s">
        <v>29</v>
      </c>
      <c r="P348" s="34">
        <v>16.0</v>
      </c>
      <c r="Q348" s="36"/>
      <c r="R348" s="36"/>
      <c r="S348" s="36"/>
    </row>
    <row r="349" ht="15.75" customHeight="1">
      <c r="A349" s="33">
        <v>45409.49014991898</v>
      </c>
      <c r="B349" s="34" t="s">
        <v>465</v>
      </c>
      <c r="C349" s="34" t="s">
        <v>841</v>
      </c>
      <c r="D349" s="34" t="s">
        <v>852</v>
      </c>
      <c r="E349" s="34" t="s">
        <v>853</v>
      </c>
      <c r="F349" s="34">
        <v>1.0</v>
      </c>
      <c r="G349" s="34">
        <v>6.0</v>
      </c>
      <c r="H349" s="34" t="s">
        <v>29</v>
      </c>
      <c r="I349" s="34" t="s">
        <v>40</v>
      </c>
      <c r="J349" s="24"/>
      <c r="K349" s="34" t="s">
        <v>854</v>
      </c>
      <c r="L349" s="34" t="s">
        <v>239</v>
      </c>
      <c r="M349" s="35" t="s">
        <v>855</v>
      </c>
      <c r="N349" s="37" t="s">
        <v>856</v>
      </c>
      <c r="O349" s="34" t="s">
        <v>40</v>
      </c>
      <c r="P349" s="34">
        <v>4.0</v>
      </c>
      <c r="Q349" s="36"/>
      <c r="R349" s="36"/>
      <c r="S349" s="36"/>
    </row>
    <row r="350" ht="15.75" customHeight="1">
      <c r="A350" s="33">
        <v>45409.63429390047</v>
      </c>
      <c r="B350" s="34" t="s">
        <v>465</v>
      </c>
      <c r="C350" s="34" t="s">
        <v>841</v>
      </c>
      <c r="D350" s="34" t="s">
        <v>27</v>
      </c>
      <c r="E350" s="34" t="s">
        <v>228</v>
      </c>
      <c r="F350" s="34">
        <v>1.0</v>
      </c>
      <c r="G350" s="34">
        <v>6.0</v>
      </c>
      <c r="H350" s="34" t="s">
        <v>29</v>
      </c>
      <c r="I350" s="34" t="s">
        <v>29</v>
      </c>
      <c r="J350" s="37" t="s">
        <v>857</v>
      </c>
      <c r="K350" s="34" t="s">
        <v>854</v>
      </c>
      <c r="L350" s="34" t="s">
        <v>239</v>
      </c>
      <c r="M350" s="35" t="s">
        <v>855</v>
      </c>
      <c r="N350" s="37" t="s">
        <v>858</v>
      </c>
      <c r="O350" s="34" t="s">
        <v>40</v>
      </c>
      <c r="P350" s="34">
        <v>4.0</v>
      </c>
      <c r="Q350" s="36"/>
      <c r="R350" s="36"/>
      <c r="S350" s="36"/>
    </row>
    <row r="351" ht="15.75" customHeight="1">
      <c r="A351" s="33">
        <v>45409.64140317129</v>
      </c>
      <c r="B351" s="34" t="s">
        <v>465</v>
      </c>
      <c r="C351" s="34" t="s">
        <v>841</v>
      </c>
      <c r="D351" s="34" t="s">
        <v>27</v>
      </c>
      <c r="E351" s="34" t="s">
        <v>329</v>
      </c>
      <c r="F351" s="34">
        <v>1.0</v>
      </c>
      <c r="G351" s="34">
        <v>10.0</v>
      </c>
      <c r="H351" s="34" t="s">
        <v>29</v>
      </c>
      <c r="I351" s="34" t="s">
        <v>29</v>
      </c>
      <c r="J351" s="24"/>
      <c r="K351" s="34" t="s">
        <v>854</v>
      </c>
      <c r="L351" s="34" t="s">
        <v>239</v>
      </c>
      <c r="M351" s="35" t="s">
        <v>855</v>
      </c>
      <c r="N351" s="37" t="s">
        <v>859</v>
      </c>
      <c r="O351" s="34" t="s">
        <v>40</v>
      </c>
      <c r="P351" s="34">
        <v>8.0</v>
      </c>
      <c r="Q351" s="36"/>
      <c r="R351" s="36"/>
      <c r="S351" s="36"/>
    </row>
    <row r="352" ht="15.75" customHeight="1">
      <c r="A352" s="33">
        <v>45409.91570362268</v>
      </c>
      <c r="B352" s="34" t="s">
        <v>288</v>
      </c>
      <c r="C352" s="34" t="s">
        <v>704</v>
      </c>
      <c r="D352" s="34" t="s">
        <v>71</v>
      </c>
      <c r="E352" s="34" t="s">
        <v>860</v>
      </c>
      <c r="F352" s="34">
        <v>1.0</v>
      </c>
      <c r="G352" s="34">
        <v>18.0</v>
      </c>
      <c r="H352" s="34" t="s">
        <v>40</v>
      </c>
      <c r="J352" s="37" t="s">
        <v>861</v>
      </c>
      <c r="L352" s="34" t="s">
        <v>111</v>
      </c>
      <c r="M352" s="35" t="s">
        <v>50</v>
      </c>
      <c r="N352" s="24"/>
      <c r="O352" s="34" t="s">
        <v>40</v>
      </c>
      <c r="P352" s="34">
        <v>16.0</v>
      </c>
      <c r="Q352" s="36"/>
      <c r="R352" s="36"/>
      <c r="S352" s="36"/>
    </row>
    <row r="353" ht="15.75" customHeight="1">
      <c r="A353" s="33">
        <v>45411.161995567134</v>
      </c>
      <c r="B353" s="34" t="s">
        <v>36</v>
      </c>
      <c r="C353" s="34" t="s">
        <v>841</v>
      </c>
      <c r="D353" s="34" t="s">
        <v>716</v>
      </c>
      <c r="E353" s="34" t="s">
        <v>161</v>
      </c>
      <c r="F353" s="34">
        <v>1.0</v>
      </c>
      <c r="G353" s="34">
        <v>20.0</v>
      </c>
      <c r="H353" s="34" t="s">
        <v>29</v>
      </c>
      <c r="I353" s="34" t="s">
        <v>40</v>
      </c>
      <c r="J353" s="24"/>
      <c r="K353" s="34" t="s">
        <v>607</v>
      </c>
      <c r="L353" s="34" t="s">
        <v>862</v>
      </c>
      <c r="M353" s="35" t="s">
        <v>137</v>
      </c>
      <c r="N353" s="37" t="s">
        <v>863</v>
      </c>
      <c r="O353" s="34" t="s">
        <v>29</v>
      </c>
      <c r="P353" s="34">
        <v>16.0</v>
      </c>
      <c r="Q353" s="36"/>
      <c r="R353" s="36"/>
      <c r="S353" s="36"/>
    </row>
    <row r="354" ht="15.75" customHeight="1">
      <c r="A354" s="33">
        <v>45411.19233075231</v>
      </c>
      <c r="B354" s="34" t="s">
        <v>288</v>
      </c>
      <c r="C354" s="34" t="s">
        <v>704</v>
      </c>
      <c r="D354" s="34" t="s">
        <v>565</v>
      </c>
      <c r="E354" s="34" t="s">
        <v>864</v>
      </c>
      <c r="F354" s="34">
        <v>1.0</v>
      </c>
      <c r="G354" s="34">
        <v>18.0</v>
      </c>
      <c r="H354" s="34" t="s">
        <v>29</v>
      </c>
      <c r="I354" s="34" t="s">
        <v>40</v>
      </c>
      <c r="J354" s="37" t="s">
        <v>865</v>
      </c>
      <c r="L354" s="34" t="s">
        <v>111</v>
      </c>
      <c r="M354" s="35" t="s">
        <v>50</v>
      </c>
      <c r="N354" s="37" t="s">
        <v>866</v>
      </c>
      <c r="O354" s="34" t="s">
        <v>29</v>
      </c>
      <c r="P354" s="34">
        <v>16.0</v>
      </c>
      <c r="Q354" s="36"/>
      <c r="R354" s="36"/>
      <c r="S354" s="36"/>
    </row>
    <row r="355" ht="15.75" customHeight="1">
      <c r="A355" s="33">
        <v>45411.319929606485</v>
      </c>
      <c r="B355" s="34" t="s">
        <v>2</v>
      </c>
      <c r="C355" s="34" t="s">
        <v>841</v>
      </c>
      <c r="D355" s="34" t="s">
        <v>27</v>
      </c>
      <c r="E355" s="34" t="s">
        <v>28</v>
      </c>
      <c r="F355" s="34">
        <v>2.0</v>
      </c>
      <c r="G355" s="34">
        <v>32.0</v>
      </c>
      <c r="H355" s="34" t="s">
        <v>29</v>
      </c>
      <c r="I355" s="34" t="s">
        <v>40</v>
      </c>
      <c r="J355" s="24"/>
      <c r="L355" s="34" t="s">
        <v>252</v>
      </c>
      <c r="M355" s="35" t="s">
        <v>253</v>
      </c>
      <c r="N355" s="24"/>
      <c r="O355" s="34" t="s">
        <v>29</v>
      </c>
      <c r="P355" s="34">
        <v>16.0</v>
      </c>
      <c r="Q355" s="36"/>
      <c r="R355" s="36"/>
      <c r="S355" s="36"/>
    </row>
    <row r="356" ht="15.75" customHeight="1">
      <c r="A356" s="33">
        <v>45411.85975550926</v>
      </c>
      <c r="B356" s="34" t="s">
        <v>169</v>
      </c>
      <c r="C356" s="34" t="s">
        <v>841</v>
      </c>
      <c r="D356" s="34" t="s">
        <v>867</v>
      </c>
      <c r="E356" s="34" t="s">
        <v>566</v>
      </c>
      <c r="F356" s="34">
        <v>2.0</v>
      </c>
      <c r="G356" s="34">
        <v>32.0</v>
      </c>
      <c r="H356" s="34" t="s">
        <v>29</v>
      </c>
      <c r="I356" s="34" t="s">
        <v>40</v>
      </c>
      <c r="J356" s="37" t="s">
        <v>868</v>
      </c>
      <c r="K356" s="34" t="s">
        <v>869</v>
      </c>
      <c r="L356" s="34" t="s">
        <v>136</v>
      </c>
      <c r="M356" s="35" t="s">
        <v>137</v>
      </c>
      <c r="N356" s="37" t="s">
        <v>870</v>
      </c>
      <c r="O356" s="34" t="s">
        <v>29</v>
      </c>
      <c r="P356" s="34">
        <v>16.0</v>
      </c>
      <c r="Q356" s="36"/>
      <c r="R356" s="36"/>
      <c r="S356" s="36"/>
    </row>
    <row r="357" ht="15.75" customHeight="1">
      <c r="A357" s="33">
        <v>45412.90613482639</v>
      </c>
      <c r="B357" s="34" t="s">
        <v>288</v>
      </c>
      <c r="C357" s="34" t="s">
        <v>841</v>
      </c>
      <c r="D357" s="34" t="s">
        <v>38</v>
      </c>
      <c r="E357" s="34" t="s">
        <v>153</v>
      </c>
      <c r="F357" s="34">
        <v>1.0</v>
      </c>
      <c r="G357" s="34">
        <v>10.0</v>
      </c>
      <c r="H357" s="34" t="s">
        <v>40</v>
      </c>
      <c r="I357" s="34" t="s">
        <v>40</v>
      </c>
      <c r="J357" s="24"/>
      <c r="L357" s="34" t="s">
        <v>140</v>
      </c>
      <c r="M357" s="37" t="s">
        <v>527</v>
      </c>
      <c r="N357" s="24"/>
      <c r="O357" s="34" t="s">
        <v>40</v>
      </c>
      <c r="P357" s="34">
        <v>8.0</v>
      </c>
      <c r="Q357" s="36"/>
      <c r="R357" s="36"/>
      <c r="S357" s="36"/>
    </row>
    <row r="358" ht="15.75" customHeight="1">
      <c r="A358" s="33">
        <v>45417.83296615741</v>
      </c>
      <c r="B358" s="34" t="s">
        <v>2</v>
      </c>
      <c r="D358" s="34" t="s">
        <v>27</v>
      </c>
      <c r="E358" s="34" t="s">
        <v>240</v>
      </c>
      <c r="F358" s="34">
        <v>2.0</v>
      </c>
      <c r="G358" s="34">
        <v>32.0</v>
      </c>
      <c r="H358" s="34" t="s">
        <v>29</v>
      </c>
      <c r="I358" s="34" t="s">
        <v>29</v>
      </c>
      <c r="J358" s="24"/>
      <c r="K358" s="34" t="s">
        <v>871</v>
      </c>
      <c r="L358" s="34" t="s">
        <v>31</v>
      </c>
      <c r="M358" s="35" t="s">
        <v>872</v>
      </c>
      <c r="N358" s="37" t="s">
        <v>873</v>
      </c>
      <c r="O358" s="34" t="s">
        <v>29</v>
      </c>
      <c r="P358" s="34">
        <v>16.0</v>
      </c>
      <c r="Q358" s="36"/>
      <c r="R358" s="36"/>
      <c r="S358" s="36"/>
    </row>
    <row r="359" ht="15.75" customHeight="1">
      <c r="A359" s="33">
        <v>45421.97464704861</v>
      </c>
      <c r="B359" s="34" t="s">
        <v>138</v>
      </c>
      <c r="C359" s="34" t="s">
        <v>841</v>
      </c>
      <c r="D359" s="34" t="s">
        <v>565</v>
      </c>
      <c r="E359" s="34" t="s">
        <v>874</v>
      </c>
      <c r="F359" s="34">
        <v>2.0</v>
      </c>
      <c r="G359" s="34">
        <v>32.0</v>
      </c>
      <c r="H359" s="34" t="s">
        <v>29</v>
      </c>
      <c r="I359" s="34" t="s">
        <v>40</v>
      </c>
      <c r="J359" s="37" t="s">
        <v>875</v>
      </c>
      <c r="K359" s="34" t="s">
        <v>876</v>
      </c>
      <c r="L359" s="34" t="s">
        <v>111</v>
      </c>
      <c r="M359" s="35" t="s">
        <v>50</v>
      </c>
      <c r="N359" s="37" t="s">
        <v>877</v>
      </c>
      <c r="O359" s="34" t="s">
        <v>29</v>
      </c>
      <c r="P359" s="34">
        <v>16.0</v>
      </c>
      <c r="Q359" s="36"/>
      <c r="R359" s="36"/>
      <c r="S359" s="36"/>
    </row>
    <row r="360" ht="15.75" customHeight="1">
      <c r="A360" s="33">
        <v>45422.132735590276</v>
      </c>
      <c r="B360" s="34" t="s">
        <v>465</v>
      </c>
      <c r="C360" s="34" t="s">
        <v>841</v>
      </c>
      <c r="D360" s="34" t="s">
        <v>38</v>
      </c>
      <c r="E360" s="34" t="s">
        <v>59</v>
      </c>
      <c r="F360" s="34">
        <v>1.0</v>
      </c>
      <c r="G360" s="34">
        <v>18.0</v>
      </c>
      <c r="H360" s="34" t="s">
        <v>29</v>
      </c>
      <c r="I360" s="34" t="s">
        <v>40</v>
      </c>
      <c r="J360" s="37" t="s">
        <v>878</v>
      </c>
      <c r="L360" s="34" t="s">
        <v>136</v>
      </c>
      <c r="M360" s="38" t="s">
        <v>137</v>
      </c>
      <c r="N360" s="37" t="s">
        <v>879</v>
      </c>
      <c r="O360" s="34" t="s">
        <v>40</v>
      </c>
      <c r="P360" s="34">
        <v>16.0</v>
      </c>
      <c r="Q360" s="36"/>
      <c r="R360" s="36"/>
      <c r="S360" s="36"/>
    </row>
    <row r="361" ht="15.75" customHeight="1">
      <c r="A361" s="33">
        <v>45428.40301780093</v>
      </c>
      <c r="B361" s="34" t="s">
        <v>288</v>
      </c>
      <c r="C361" s="34" t="s">
        <v>841</v>
      </c>
      <c r="D361" s="34" t="s">
        <v>852</v>
      </c>
      <c r="E361" s="34" t="s">
        <v>880</v>
      </c>
      <c r="F361" s="34">
        <v>1.0</v>
      </c>
      <c r="G361" s="34">
        <v>6.0</v>
      </c>
      <c r="H361" s="34" t="s">
        <v>40</v>
      </c>
      <c r="I361" s="34" t="s">
        <v>40</v>
      </c>
      <c r="J361" s="37" t="s">
        <v>881</v>
      </c>
      <c r="K361" s="34" t="s">
        <v>882</v>
      </c>
      <c r="L361" s="34" t="s">
        <v>140</v>
      </c>
      <c r="M361" s="37" t="s">
        <v>883</v>
      </c>
      <c r="N361" s="24"/>
      <c r="O361" s="34" t="s">
        <v>126</v>
      </c>
      <c r="P361" s="34">
        <v>4.0</v>
      </c>
      <c r="Q361" s="36"/>
      <c r="R361" s="36"/>
      <c r="S361" s="36"/>
    </row>
    <row r="362" ht="15.75" customHeight="1">
      <c r="A362" s="33">
        <v>45429.83068158565</v>
      </c>
      <c r="B362" s="34" t="s">
        <v>465</v>
      </c>
      <c r="C362" s="34" t="s">
        <v>841</v>
      </c>
      <c r="D362" s="34" t="s">
        <v>119</v>
      </c>
      <c r="E362" s="34" t="s">
        <v>540</v>
      </c>
      <c r="F362" s="34">
        <v>1.0</v>
      </c>
      <c r="G362" s="34">
        <v>10.0</v>
      </c>
      <c r="H362" s="34" t="s">
        <v>29</v>
      </c>
      <c r="I362" s="34" t="s">
        <v>40</v>
      </c>
      <c r="J362" s="24"/>
      <c r="K362" s="34" t="s">
        <v>884</v>
      </c>
      <c r="L362" s="34" t="s">
        <v>186</v>
      </c>
      <c r="M362" s="37" t="s">
        <v>885</v>
      </c>
      <c r="N362" s="24"/>
      <c r="O362" s="34" t="s">
        <v>40</v>
      </c>
      <c r="P362" s="34">
        <v>8.0</v>
      </c>
      <c r="Q362" s="36"/>
      <c r="R362" s="36"/>
      <c r="S362" s="36"/>
    </row>
    <row r="363" ht="15.75" customHeight="1">
      <c r="A363" s="33">
        <v>45432.78901540509</v>
      </c>
      <c r="B363" s="34" t="s">
        <v>2</v>
      </c>
      <c r="C363" s="34" t="s">
        <v>841</v>
      </c>
      <c r="D363" s="34" t="s">
        <v>38</v>
      </c>
      <c r="E363" s="34" t="s">
        <v>153</v>
      </c>
      <c r="F363" s="34">
        <v>2.0</v>
      </c>
      <c r="G363" s="34">
        <v>16.0</v>
      </c>
      <c r="H363" s="34" t="s">
        <v>29</v>
      </c>
      <c r="I363" s="34" t="s">
        <v>40</v>
      </c>
      <c r="J363" s="24"/>
      <c r="K363" s="34" t="s">
        <v>886</v>
      </c>
      <c r="L363" s="34" t="s">
        <v>111</v>
      </c>
      <c r="M363" s="35" t="s">
        <v>50</v>
      </c>
      <c r="N363" s="24"/>
      <c r="O363" s="34" t="s">
        <v>40</v>
      </c>
      <c r="P363" s="34">
        <v>8.0</v>
      </c>
      <c r="Q363" s="36"/>
      <c r="R363" s="36"/>
      <c r="S363" s="36"/>
    </row>
    <row r="364" ht="15.75" customHeight="1">
      <c r="A364" s="33">
        <v>45433.66997181713</v>
      </c>
      <c r="B364" s="34" t="s">
        <v>465</v>
      </c>
      <c r="D364" s="34" t="s">
        <v>38</v>
      </c>
      <c r="E364" s="34" t="s">
        <v>28</v>
      </c>
      <c r="H364" s="34" t="s">
        <v>29</v>
      </c>
      <c r="J364" s="24"/>
      <c r="M364" s="24"/>
      <c r="N364" s="24"/>
    </row>
    <row r="365" ht="15.75" customHeight="1">
      <c r="A365" s="33">
        <v>45434.355068819445</v>
      </c>
      <c r="B365" s="34" t="s">
        <v>465</v>
      </c>
      <c r="C365" s="34" t="s">
        <v>841</v>
      </c>
      <c r="D365" s="34" t="s">
        <v>38</v>
      </c>
      <c r="E365" s="34" t="s">
        <v>39</v>
      </c>
      <c r="F365" s="34">
        <v>1.0</v>
      </c>
      <c r="G365" s="34">
        <v>18.0</v>
      </c>
      <c r="H365" s="34" t="s">
        <v>29</v>
      </c>
      <c r="I365" s="34" t="s">
        <v>40</v>
      </c>
      <c r="J365" s="37" t="s">
        <v>887</v>
      </c>
      <c r="K365" s="34" t="s">
        <v>607</v>
      </c>
      <c r="L365" s="34" t="s">
        <v>186</v>
      </c>
      <c r="M365" s="35" t="s">
        <v>888</v>
      </c>
      <c r="N365" s="37" t="s">
        <v>889</v>
      </c>
      <c r="O365" s="34" t="s">
        <v>40</v>
      </c>
      <c r="P365" s="34">
        <v>16.0</v>
      </c>
      <c r="Q365" s="36"/>
      <c r="R365" s="36"/>
      <c r="S365" s="36"/>
    </row>
    <row r="366" ht="15.75" customHeight="1">
      <c r="A366" s="33">
        <v>45434.77321177084</v>
      </c>
      <c r="B366" s="34" t="s">
        <v>74</v>
      </c>
      <c r="C366" s="34" t="s">
        <v>841</v>
      </c>
      <c r="D366" s="34" t="s">
        <v>27</v>
      </c>
      <c r="E366" s="34" t="s">
        <v>794</v>
      </c>
      <c r="F366" s="34">
        <v>2.0</v>
      </c>
      <c r="G366" s="34">
        <v>8.0</v>
      </c>
      <c r="H366" s="34" t="s">
        <v>29</v>
      </c>
      <c r="I366" s="34" t="s">
        <v>40</v>
      </c>
      <c r="J366" s="24"/>
      <c r="L366" s="34" t="s">
        <v>354</v>
      </c>
      <c r="M366" s="24"/>
      <c r="N366" s="37" t="s">
        <v>890</v>
      </c>
      <c r="O366" s="34" t="s">
        <v>40</v>
      </c>
      <c r="P366" s="34">
        <v>4.0</v>
      </c>
      <c r="Q366" s="36"/>
      <c r="R366" s="36"/>
      <c r="S366" s="36"/>
    </row>
    <row r="367" ht="15.75" customHeight="1">
      <c r="A367" s="33">
        <v>45434.9654480787</v>
      </c>
      <c r="B367" s="34" t="s">
        <v>465</v>
      </c>
      <c r="D367" s="34" t="s">
        <v>86</v>
      </c>
      <c r="E367" s="34" t="s">
        <v>891</v>
      </c>
      <c r="G367" s="34">
        <v>20.0</v>
      </c>
      <c r="H367" s="34" t="s">
        <v>40</v>
      </c>
      <c r="J367" s="24"/>
      <c r="L367" s="34" t="s">
        <v>892</v>
      </c>
      <c r="M367" s="24"/>
      <c r="N367" s="24"/>
      <c r="O367" s="34" t="s">
        <v>126</v>
      </c>
      <c r="P367" s="34">
        <v>16.0</v>
      </c>
      <c r="Q367" s="36"/>
      <c r="R367" s="36"/>
      <c r="S367" s="36"/>
    </row>
    <row r="368" ht="15.75" customHeight="1">
      <c r="A368" s="33">
        <v>45435.301894930555</v>
      </c>
      <c r="B368" s="34" t="s">
        <v>288</v>
      </c>
      <c r="C368" s="34" t="s">
        <v>841</v>
      </c>
      <c r="D368" s="34" t="s">
        <v>38</v>
      </c>
      <c r="E368" s="34" t="s">
        <v>368</v>
      </c>
      <c r="F368" s="34">
        <v>1.0</v>
      </c>
      <c r="G368" s="34">
        <v>18.0</v>
      </c>
      <c r="H368" s="34" t="s">
        <v>40</v>
      </c>
      <c r="I368" s="34" t="s">
        <v>40</v>
      </c>
      <c r="J368" s="24"/>
      <c r="L368" s="34" t="s">
        <v>186</v>
      </c>
      <c r="M368" s="35" t="s">
        <v>399</v>
      </c>
      <c r="N368" s="24"/>
      <c r="O368" s="34" t="s">
        <v>126</v>
      </c>
      <c r="P368" s="34">
        <v>16.0</v>
      </c>
      <c r="Q368" s="36"/>
      <c r="R368" s="36"/>
      <c r="S368" s="36"/>
    </row>
    <row r="369" ht="15.75" customHeight="1">
      <c r="A369" s="33">
        <v>45436.927711805554</v>
      </c>
      <c r="B369" s="34" t="s">
        <v>298</v>
      </c>
      <c r="C369" s="34" t="s">
        <v>100</v>
      </c>
      <c r="D369" s="34" t="s">
        <v>38</v>
      </c>
      <c r="E369" s="34" t="s">
        <v>893</v>
      </c>
      <c r="F369" s="34">
        <v>1.0</v>
      </c>
      <c r="G369" s="34">
        <v>10.0</v>
      </c>
      <c r="H369" s="34" t="s">
        <v>29</v>
      </c>
      <c r="I369" s="34" t="s">
        <v>40</v>
      </c>
      <c r="J369" s="24"/>
      <c r="L369" s="34" t="s">
        <v>140</v>
      </c>
      <c r="M369" s="35" t="s">
        <v>894</v>
      </c>
      <c r="N369" s="24"/>
      <c r="O369" s="34" t="s">
        <v>126</v>
      </c>
      <c r="P369" s="34">
        <v>8.0</v>
      </c>
      <c r="Q369" s="36"/>
      <c r="R369" s="36"/>
      <c r="S369" s="36"/>
    </row>
    <row r="370" ht="15.75" customHeight="1">
      <c r="A370" s="33">
        <v>45438.71560439815</v>
      </c>
      <c r="B370" s="34" t="s">
        <v>288</v>
      </c>
      <c r="C370" s="34" t="s">
        <v>841</v>
      </c>
      <c r="D370" s="34" t="s">
        <v>101</v>
      </c>
      <c r="E370" s="34" t="s">
        <v>819</v>
      </c>
      <c r="F370" s="34">
        <v>1.0</v>
      </c>
      <c r="G370" s="34">
        <v>6.0</v>
      </c>
      <c r="H370" s="34" t="s">
        <v>40</v>
      </c>
      <c r="J370" s="24"/>
      <c r="L370" s="34" t="s">
        <v>31</v>
      </c>
      <c r="M370" s="24"/>
      <c r="N370" s="24"/>
      <c r="O370" s="34" t="s">
        <v>40</v>
      </c>
      <c r="P370" s="34">
        <v>4.0</v>
      </c>
      <c r="Q370" s="36"/>
      <c r="R370" s="36"/>
      <c r="S370" s="36"/>
    </row>
    <row r="371" ht="15.75" customHeight="1">
      <c r="A371" s="33">
        <v>45439.191302384264</v>
      </c>
      <c r="B371" s="34" t="s">
        <v>124</v>
      </c>
      <c r="C371" s="34" t="s">
        <v>704</v>
      </c>
      <c r="D371" s="34" t="s">
        <v>716</v>
      </c>
      <c r="E371" s="34" t="s">
        <v>895</v>
      </c>
      <c r="F371" s="34">
        <v>1.0</v>
      </c>
      <c r="G371" s="34">
        <v>18.0</v>
      </c>
      <c r="H371" s="34" t="s">
        <v>29</v>
      </c>
      <c r="I371" s="34" t="s">
        <v>40</v>
      </c>
      <c r="J371" s="37" t="s">
        <v>896</v>
      </c>
      <c r="K371" s="34" t="s">
        <v>897</v>
      </c>
      <c r="L371" s="34" t="s">
        <v>111</v>
      </c>
      <c r="M371" s="35" t="s">
        <v>50</v>
      </c>
      <c r="N371" s="37" t="s">
        <v>898</v>
      </c>
      <c r="O371" s="34" t="s">
        <v>29</v>
      </c>
      <c r="P371" s="34">
        <v>16.0</v>
      </c>
      <c r="Q371" s="36"/>
      <c r="R371" s="36"/>
      <c r="S371" s="36"/>
    </row>
    <row r="372" ht="15.75" customHeight="1">
      <c r="A372" s="33">
        <v>45439.711171539355</v>
      </c>
      <c r="B372" s="34" t="s">
        <v>138</v>
      </c>
      <c r="C372" s="34" t="s">
        <v>841</v>
      </c>
      <c r="D372" s="34" t="s">
        <v>38</v>
      </c>
      <c r="E372" s="34" t="s">
        <v>39</v>
      </c>
      <c r="F372" s="34">
        <v>2.0</v>
      </c>
      <c r="G372" s="34">
        <v>32.0</v>
      </c>
      <c r="H372" s="34" t="s">
        <v>29</v>
      </c>
      <c r="I372" s="34" t="s">
        <v>40</v>
      </c>
      <c r="J372" s="24"/>
      <c r="K372" s="34" t="s">
        <v>607</v>
      </c>
      <c r="L372" s="34" t="s">
        <v>111</v>
      </c>
      <c r="M372" s="35" t="s">
        <v>116</v>
      </c>
      <c r="N372" s="24"/>
      <c r="O372" s="34" t="s">
        <v>40</v>
      </c>
      <c r="P372" s="34">
        <v>16.0</v>
      </c>
      <c r="Q372" s="36"/>
      <c r="R372" s="36"/>
      <c r="S372" s="36"/>
    </row>
    <row r="373" ht="15.75" customHeight="1">
      <c r="A373" s="33">
        <v>45439.74138630787</v>
      </c>
      <c r="B373" s="34" t="s">
        <v>124</v>
      </c>
      <c r="C373" s="34" t="s">
        <v>841</v>
      </c>
      <c r="D373" s="34" t="s">
        <v>86</v>
      </c>
      <c r="E373" s="34" t="s">
        <v>899</v>
      </c>
      <c r="F373" s="34">
        <v>1.0</v>
      </c>
      <c r="G373" s="34">
        <v>18.0</v>
      </c>
      <c r="H373" s="34" t="s">
        <v>29</v>
      </c>
      <c r="I373" s="34" t="s">
        <v>40</v>
      </c>
      <c r="J373" s="37" t="s">
        <v>900</v>
      </c>
      <c r="L373" s="34" t="s">
        <v>140</v>
      </c>
      <c r="M373" s="24"/>
      <c r="N373" s="24"/>
      <c r="O373" s="34" t="s">
        <v>40</v>
      </c>
      <c r="P373" s="34">
        <v>16.0</v>
      </c>
      <c r="Q373" s="36"/>
      <c r="R373" s="36"/>
      <c r="S373" s="36"/>
    </row>
    <row r="374" ht="15.75" customHeight="1">
      <c r="A374" s="33">
        <v>45441.3784619213</v>
      </c>
      <c r="B374" s="34" t="s">
        <v>465</v>
      </c>
      <c r="C374" s="34" t="s">
        <v>841</v>
      </c>
      <c r="D374" s="34" t="s">
        <v>119</v>
      </c>
      <c r="E374" s="34" t="s">
        <v>120</v>
      </c>
      <c r="F374" s="34">
        <v>1.0</v>
      </c>
      <c r="G374" s="34">
        <v>10.0</v>
      </c>
      <c r="H374" s="34" t="s">
        <v>29</v>
      </c>
      <c r="I374" s="34" t="s">
        <v>40</v>
      </c>
      <c r="J374" s="24"/>
      <c r="L374" s="34" t="s">
        <v>445</v>
      </c>
      <c r="M374" s="35" t="s">
        <v>901</v>
      </c>
      <c r="N374" s="24"/>
      <c r="O374" s="34" t="s">
        <v>126</v>
      </c>
      <c r="P374" s="34">
        <v>8.0</v>
      </c>
      <c r="Q374" s="36"/>
      <c r="R374" s="36"/>
      <c r="S374" s="36"/>
    </row>
    <row r="375" ht="15.75" customHeight="1">
      <c r="A375" s="33">
        <v>45443.813979432874</v>
      </c>
      <c r="B375" s="34" t="s">
        <v>288</v>
      </c>
      <c r="C375" s="34" t="s">
        <v>841</v>
      </c>
      <c r="D375" s="34" t="s">
        <v>119</v>
      </c>
      <c r="E375" s="34" t="s">
        <v>902</v>
      </c>
      <c r="F375" s="34">
        <v>1.0</v>
      </c>
      <c r="G375" s="34">
        <v>18.0</v>
      </c>
      <c r="H375" s="34" t="s">
        <v>29</v>
      </c>
      <c r="I375" s="34" t="s">
        <v>40</v>
      </c>
      <c r="J375" s="24"/>
      <c r="L375" s="34" t="s">
        <v>31</v>
      </c>
      <c r="M375" s="24"/>
      <c r="N375" s="37" t="s">
        <v>903</v>
      </c>
      <c r="O375" s="34" t="s">
        <v>40</v>
      </c>
      <c r="P375" s="34">
        <v>16.0</v>
      </c>
      <c r="Q375" s="36"/>
      <c r="R375" s="36"/>
      <c r="S375" s="36"/>
    </row>
    <row r="376" ht="15.75" customHeight="1">
      <c r="A376" s="33">
        <v>45443.96110681713</v>
      </c>
      <c r="B376" s="34" t="s">
        <v>2</v>
      </c>
      <c r="C376" s="34" t="s">
        <v>841</v>
      </c>
      <c r="D376" s="34" t="s">
        <v>180</v>
      </c>
      <c r="E376" s="34" t="s">
        <v>904</v>
      </c>
      <c r="F376" s="34">
        <v>2.0</v>
      </c>
      <c r="G376" s="34">
        <v>32.0</v>
      </c>
      <c r="H376" s="34" t="s">
        <v>29</v>
      </c>
      <c r="I376" s="34" t="s">
        <v>40</v>
      </c>
      <c r="J376" s="37" t="s">
        <v>905</v>
      </c>
      <c r="L376" s="34" t="s">
        <v>111</v>
      </c>
      <c r="M376" s="38" t="s">
        <v>50</v>
      </c>
      <c r="N376" s="24"/>
      <c r="O376" s="34" t="s">
        <v>40</v>
      </c>
      <c r="P376" s="34">
        <v>16.0</v>
      </c>
      <c r="Q376" s="36"/>
      <c r="R376" s="36"/>
      <c r="S376" s="36"/>
    </row>
    <row r="377" ht="15.75" customHeight="1">
      <c r="A377" s="33">
        <v>45447.49842027778</v>
      </c>
      <c r="B377" s="34" t="s">
        <v>465</v>
      </c>
      <c r="C377" s="34" t="s">
        <v>841</v>
      </c>
      <c r="D377" s="34" t="s">
        <v>38</v>
      </c>
      <c r="E377" s="34" t="s">
        <v>400</v>
      </c>
      <c r="F377" s="34">
        <v>1.0</v>
      </c>
      <c r="G377" s="34">
        <v>18.0</v>
      </c>
      <c r="H377" s="34" t="s">
        <v>29</v>
      </c>
      <c r="I377" s="34" t="s">
        <v>40</v>
      </c>
      <c r="J377" s="24"/>
      <c r="L377" s="34" t="s">
        <v>445</v>
      </c>
      <c r="M377" s="38" t="s">
        <v>446</v>
      </c>
      <c r="N377" s="24"/>
      <c r="O377" s="34" t="s">
        <v>126</v>
      </c>
      <c r="P377" s="34">
        <v>16.0</v>
      </c>
      <c r="Q377" s="36"/>
      <c r="R377" s="36"/>
      <c r="S377" s="36"/>
    </row>
    <row r="378" ht="15.75" customHeight="1">
      <c r="A378" s="33">
        <v>45447.66387096065</v>
      </c>
      <c r="B378" s="34" t="s">
        <v>124</v>
      </c>
      <c r="C378" s="34" t="s">
        <v>841</v>
      </c>
      <c r="D378" s="34" t="s">
        <v>38</v>
      </c>
      <c r="E378" s="34" t="s">
        <v>68</v>
      </c>
      <c r="H378" s="34" t="s">
        <v>29</v>
      </c>
      <c r="J378" s="24"/>
      <c r="M378" s="24"/>
      <c r="N378" s="24"/>
    </row>
    <row r="379" ht="15.75" customHeight="1">
      <c r="A379" s="33">
        <v>45452.83043569444</v>
      </c>
      <c r="B379" s="34" t="s">
        <v>288</v>
      </c>
      <c r="C379" s="34" t="s">
        <v>841</v>
      </c>
      <c r="D379" s="34" t="s">
        <v>27</v>
      </c>
      <c r="E379" s="34" t="s">
        <v>329</v>
      </c>
      <c r="F379" s="34">
        <v>1.0</v>
      </c>
      <c r="G379" s="34">
        <v>10.0</v>
      </c>
      <c r="H379" s="34" t="s">
        <v>29</v>
      </c>
      <c r="I379" s="34" t="s">
        <v>40</v>
      </c>
      <c r="J379" s="24"/>
      <c r="L379" s="34" t="s">
        <v>31</v>
      </c>
      <c r="M379" s="35" t="s">
        <v>906</v>
      </c>
      <c r="N379" s="24"/>
      <c r="O379" s="34" t="s">
        <v>40</v>
      </c>
      <c r="P379" s="34">
        <v>8.0</v>
      </c>
      <c r="Q379" s="36"/>
      <c r="R379" s="36"/>
      <c r="S379" s="36"/>
    </row>
    <row r="380" ht="15.75" customHeight="1">
      <c r="A380" s="33">
        <v>45453.87773146991</v>
      </c>
      <c r="B380" s="34" t="s">
        <v>465</v>
      </c>
      <c r="C380" s="34" t="s">
        <v>544</v>
      </c>
      <c r="D380" s="34" t="s">
        <v>119</v>
      </c>
      <c r="E380" s="34" t="s">
        <v>120</v>
      </c>
      <c r="F380" s="34">
        <v>1.0</v>
      </c>
      <c r="G380" s="34">
        <v>10.0</v>
      </c>
      <c r="H380" s="34" t="s">
        <v>40</v>
      </c>
      <c r="I380" s="34" t="s">
        <v>40</v>
      </c>
      <c r="J380" s="37" t="s">
        <v>907</v>
      </c>
      <c r="K380" s="34" t="s">
        <v>908</v>
      </c>
      <c r="L380" s="34" t="s">
        <v>140</v>
      </c>
      <c r="M380" s="35" t="s">
        <v>335</v>
      </c>
      <c r="N380" s="24"/>
      <c r="O380" s="34" t="s">
        <v>40</v>
      </c>
      <c r="P380" s="34">
        <v>8.0</v>
      </c>
      <c r="Q380" s="36"/>
      <c r="R380" s="36"/>
      <c r="S380" s="36"/>
    </row>
    <row r="381" ht="15.75" customHeight="1">
      <c r="A381" s="33">
        <v>45454.611546562504</v>
      </c>
      <c r="B381" s="34" t="s">
        <v>432</v>
      </c>
      <c r="C381" s="34" t="s">
        <v>909</v>
      </c>
      <c r="D381" s="34" t="s">
        <v>38</v>
      </c>
      <c r="E381" s="34" t="s">
        <v>910</v>
      </c>
      <c r="F381" s="34">
        <v>2.0</v>
      </c>
      <c r="G381" s="34">
        <v>32.0</v>
      </c>
      <c r="H381" s="34" t="s">
        <v>29</v>
      </c>
      <c r="I381" s="34" t="s">
        <v>40</v>
      </c>
      <c r="J381" s="37" t="s">
        <v>911</v>
      </c>
      <c r="L381" s="34" t="s">
        <v>103</v>
      </c>
      <c r="M381" s="37" t="s">
        <v>418</v>
      </c>
      <c r="N381" s="24"/>
      <c r="O381" s="34" t="s">
        <v>40</v>
      </c>
      <c r="P381" s="34">
        <v>16.0</v>
      </c>
      <c r="Q381" s="36"/>
      <c r="R381" s="36"/>
      <c r="S381" s="36"/>
    </row>
    <row r="382" ht="15.75" customHeight="1">
      <c r="A382" s="33">
        <v>45457.48401729167</v>
      </c>
      <c r="B382" s="34" t="s">
        <v>465</v>
      </c>
      <c r="C382" s="34" t="s">
        <v>841</v>
      </c>
      <c r="D382" s="34" t="s">
        <v>38</v>
      </c>
      <c r="E382" s="34" t="s">
        <v>912</v>
      </c>
      <c r="F382" s="34">
        <v>1.0</v>
      </c>
      <c r="G382" s="34">
        <v>18.0</v>
      </c>
      <c r="H382" s="34" t="s">
        <v>29</v>
      </c>
      <c r="I382" s="34" t="s">
        <v>40</v>
      </c>
      <c r="J382" s="37" t="s">
        <v>913</v>
      </c>
      <c r="L382" s="34" t="s">
        <v>151</v>
      </c>
      <c r="M382" s="37" t="s">
        <v>914</v>
      </c>
      <c r="N382" s="24"/>
      <c r="O382" s="34" t="s">
        <v>40</v>
      </c>
      <c r="P382" s="34">
        <v>16.0</v>
      </c>
      <c r="Q382" s="36"/>
      <c r="R382" s="36"/>
      <c r="S382" s="36"/>
    </row>
    <row r="383" ht="15.75" customHeight="1">
      <c r="A383" s="33">
        <v>45457.68309327547</v>
      </c>
      <c r="B383" s="34" t="s">
        <v>124</v>
      </c>
      <c r="C383" s="34" t="s">
        <v>769</v>
      </c>
      <c r="D383" s="34" t="s">
        <v>38</v>
      </c>
      <c r="E383" s="34" t="s">
        <v>599</v>
      </c>
      <c r="F383" s="34">
        <v>1.0</v>
      </c>
      <c r="G383" s="34">
        <v>18.0</v>
      </c>
      <c r="H383" s="34" t="s">
        <v>29</v>
      </c>
      <c r="I383" s="34" t="s">
        <v>40</v>
      </c>
      <c r="J383" s="24"/>
      <c r="L383" s="34" t="s">
        <v>420</v>
      </c>
      <c r="M383" s="38" t="s">
        <v>915</v>
      </c>
      <c r="N383" s="37" t="s">
        <v>916</v>
      </c>
      <c r="O383" s="34" t="s">
        <v>40</v>
      </c>
      <c r="P383" s="34">
        <v>16.0</v>
      </c>
      <c r="Q383" s="36"/>
      <c r="R383" s="36"/>
      <c r="S383" s="36"/>
    </row>
    <row r="384" ht="15.75" customHeight="1">
      <c r="A384" s="33">
        <v>45459.55657637732</v>
      </c>
      <c r="B384" s="34" t="s">
        <v>169</v>
      </c>
      <c r="C384" s="34" t="s">
        <v>841</v>
      </c>
      <c r="D384" s="34" t="s">
        <v>565</v>
      </c>
      <c r="E384" s="34" t="s">
        <v>566</v>
      </c>
      <c r="F384" s="34">
        <v>2.0</v>
      </c>
      <c r="G384" s="34">
        <v>32.0</v>
      </c>
      <c r="H384" s="34" t="s">
        <v>29</v>
      </c>
      <c r="I384" s="34" t="s">
        <v>40</v>
      </c>
      <c r="J384" s="40"/>
      <c r="K384" s="34" t="s">
        <v>917</v>
      </c>
      <c r="L384" s="34" t="s">
        <v>111</v>
      </c>
      <c r="M384" s="35" t="s">
        <v>116</v>
      </c>
      <c r="N384" s="37" t="s">
        <v>918</v>
      </c>
      <c r="O384" s="34" t="s">
        <v>29</v>
      </c>
      <c r="P384" s="34">
        <v>16.0</v>
      </c>
      <c r="Q384" s="36"/>
      <c r="R384" s="36"/>
      <c r="S384" s="36"/>
    </row>
    <row r="385" ht="15.75" customHeight="1">
      <c r="A385" s="33">
        <v>45462.57756760417</v>
      </c>
      <c r="B385" s="34" t="s">
        <v>465</v>
      </c>
      <c r="C385" s="34" t="s">
        <v>919</v>
      </c>
      <c r="D385" s="34" t="s">
        <v>38</v>
      </c>
      <c r="E385" s="34" t="s">
        <v>400</v>
      </c>
      <c r="F385" s="34">
        <v>1.0</v>
      </c>
      <c r="G385" s="34">
        <v>18.0</v>
      </c>
      <c r="H385" s="34" t="s">
        <v>29</v>
      </c>
      <c r="I385" s="34" t="s">
        <v>40</v>
      </c>
      <c r="J385" s="24"/>
      <c r="L385" s="34" t="s">
        <v>354</v>
      </c>
      <c r="M385" s="35" t="s">
        <v>920</v>
      </c>
      <c r="N385" s="37" t="s">
        <v>921</v>
      </c>
      <c r="O385" s="34" t="s">
        <v>40</v>
      </c>
      <c r="P385" s="34">
        <v>16.0</v>
      </c>
      <c r="Q385" s="36"/>
      <c r="R385" s="36"/>
      <c r="S385" s="36"/>
    </row>
    <row r="386" ht="15.75" customHeight="1">
      <c r="A386" s="33">
        <v>45462.71121243056</v>
      </c>
      <c r="B386" s="34" t="s">
        <v>465</v>
      </c>
      <c r="D386" s="34" t="s">
        <v>922</v>
      </c>
      <c r="E386" s="34" t="s">
        <v>923</v>
      </c>
      <c r="F386" s="34">
        <v>1.0</v>
      </c>
      <c r="G386" s="34">
        <v>16.0</v>
      </c>
      <c r="H386" s="34" t="s">
        <v>40</v>
      </c>
      <c r="J386" s="24"/>
      <c r="M386" s="24"/>
      <c r="N386" s="24"/>
      <c r="P386" s="34">
        <v>16.0</v>
      </c>
      <c r="Q386" s="36"/>
      <c r="R386" s="36"/>
      <c r="S386" s="36"/>
    </row>
    <row r="387" ht="15.75" customHeight="1">
      <c r="A387" s="33">
        <v>45462.84816283565</v>
      </c>
      <c r="B387" s="34" t="s">
        <v>465</v>
      </c>
      <c r="C387" s="34" t="s">
        <v>841</v>
      </c>
      <c r="D387" s="34" t="s">
        <v>27</v>
      </c>
      <c r="E387" s="34" t="s">
        <v>924</v>
      </c>
      <c r="F387" s="34">
        <v>1.0</v>
      </c>
      <c r="G387" s="34">
        <v>18.0</v>
      </c>
      <c r="H387" s="34" t="s">
        <v>29</v>
      </c>
      <c r="I387" s="34" t="s">
        <v>40</v>
      </c>
      <c r="J387" s="37" t="s">
        <v>925</v>
      </c>
      <c r="K387" s="34" t="s">
        <v>926</v>
      </c>
      <c r="L387" s="34" t="s">
        <v>111</v>
      </c>
      <c r="M387" s="37" t="s">
        <v>927</v>
      </c>
      <c r="N387" s="37" t="s">
        <v>928</v>
      </c>
      <c r="O387" s="34" t="s">
        <v>40</v>
      </c>
      <c r="P387" s="34">
        <v>16.0</v>
      </c>
      <c r="Q387" s="36"/>
      <c r="R387" s="36"/>
      <c r="S387" s="36"/>
    </row>
    <row r="388" ht="15.75" customHeight="1">
      <c r="A388" s="33">
        <v>45462.85650763889</v>
      </c>
      <c r="B388" s="34" t="s">
        <v>465</v>
      </c>
      <c r="C388" s="34" t="s">
        <v>841</v>
      </c>
      <c r="D388" s="34" t="s">
        <v>101</v>
      </c>
      <c r="E388" s="34" t="s">
        <v>929</v>
      </c>
      <c r="F388" s="34">
        <v>1.0</v>
      </c>
      <c r="G388" s="34">
        <v>34.0</v>
      </c>
      <c r="H388" s="34" t="s">
        <v>40</v>
      </c>
      <c r="I388" s="34" t="s">
        <v>40</v>
      </c>
      <c r="J388" s="37" t="s">
        <v>930</v>
      </c>
      <c r="K388" s="34" t="s">
        <v>926</v>
      </c>
      <c r="L388" s="34" t="s">
        <v>111</v>
      </c>
      <c r="M388" s="37" t="s">
        <v>931</v>
      </c>
      <c r="N388" s="24"/>
      <c r="O388" s="34" t="s">
        <v>40</v>
      </c>
      <c r="P388" s="34">
        <v>32.0</v>
      </c>
      <c r="Q388" s="36"/>
      <c r="R388" s="36"/>
      <c r="S388" s="36"/>
    </row>
    <row r="389" ht="15.75" customHeight="1">
      <c r="A389" s="33">
        <v>45463.86089182871</v>
      </c>
      <c r="B389" s="34" t="s">
        <v>288</v>
      </c>
      <c r="C389" s="34" t="s">
        <v>841</v>
      </c>
      <c r="D389" s="34" t="s">
        <v>38</v>
      </c>
      <c r="E389" s="34" t="s">
        <v>649</v>
      </c>
      <c r="F389" s="34">
        <v>1.0</v>
      </c>
      <c r="G389" s="34">
        <v>10.0</v>
      </c>
      <c r="H389" s="34" t="s">
        <v>29</v>
      </c>
      <c r="I389" s="34" t="s">
        <v>40</v>
      </c>
      <c r="J389" s="37" t="s">
        <v>932</v>
      </c>
      <c r="K389" s="34" t="s">
        <v>933</v>
      </c>
      <c r="L389" s="34" t="s">
        <v>219</v>
      </c>
      <c r="M389" s="35" t="s">
        <v>382</v>
      </c>
      <c r="N389" s="24"/>
      <c r="O389" s="34" t="s">
        <v>40</v>
      </c>
      <c r="P389" s="34">
        <v>8.0</v>
      </c>
      <c r="Q389" s="36"/>
      <c r="R389" s="36"/>
      <c r="S389" s="36"/>
    </row>
    <row r="390" ht="15.75" customHeight="1">
      <c r="A390" s="33">
        <v>45467.029665891205</v>
      </c>
      <c r="B390" s="34" t="s">
        <v>288</v>
      </c>
      <c r="C390" s="34" t="s">
        <v>841</v>
      </c>
      <c r="D390" s="34" t="s">
        <v>119</v>
      </c>
      <c r="E390" s="34" t="s">
        <v>625</v>
      </c>
      <c r="F390" s="34">
        <v>1.0</v>
      </c>
      <c r="G390" s="34">
        <v>18.0</v>
      </c>
      <c r="H390" s="34" t="s">
        <v>29</v>
      </c>
      <c r="I390" s="34" t="s">
        <v>40</v>
      </c>
      <c r="J390" s="24"/>
      <c r="L390" s="34" t="s">
        <v>111</v>
      </c>
      <c r="M390" s="35" t="s">
        <v>50</v>
      </c>
      <c r="N390" s="24"/>
      <c r="O390" s="34" t="s">
        <v>126</v>
      </c>
      <c r="P390" s="34">
        <v>16.0</v>
      </c>
      <c r="Q390" s="36"/>
      <c r="R390" s="36"/>
      <c r="S390" s="36"/>
    </row>
    <row r="391" ht="15.75" customHeight="1">
      <c r="A391" s="33">
        <v>45467.543433784725</v>
      </c>
      <c r="B391" s="34" t="s">
        <v>118</v>
      </c>
      <c r="C391" s="34" t="s">
        <v>595</v>
      </c>
      <c r="D391" s="34" t="s">
        <v>38</v>
      </c>
      <c r="E391" s="34" t="s">
        <v>59</v>
      </c>
      <c r="F391" s="34">
        <v>1.0</v>
      </c>
      <c r="G391" s="34">
        <v>18.0</v>
      </c>
      <c r="H391" s="34" t="s">
        <v>29</v>
      </c>
      <c r="I391" s="34" t="s">
        <v>40</v>
      </c>
      <c r="J391" s="24"/>
      <c r="L391" s="34" t="s">
        <v>93</v>
      </c>
      <c r="M391" s="37" t="s">
        <v>934</v>
      </c>
      <c r="N391" s="37" t="s">
        <v>935</v>
      </c>
      <c r="O391" s="34" t="s">
        <v>40</v>
      </c>
      <c r="P391" s="34">
        <v>16.0</v>
      </c>
      <c r="Q391" s="36"/>
      <c r="R391" s="36"/>
      <c r="S391" s="36"/>
    </row>
    <row r="392" ht="15.75" customHeight="1">
      <c r="A392" s="33">
        <v>45468.9951665625</v>
      </c>
      <c r="B392" s="34" t="s">
        <v>254</v>
      </c>
      <c r="C392" s="34" t="s">
        <v>936</v>
      </c>
      <c r="D392" s="34" t="s">
        <v>132</v>
      </c>
      <c r="E392" s="34" t="s">
        <v>133</v>
      </c>
      <c r="F392" s="34">
        <v>2.0</v>
      </c>
      <c r="G392" s="34">
        <v>32.0</v>
      </c>
      <c r="H392" s="34" t="s">
        <v>40</v>
      </c>
      <c r="I392" s="34" t="s">
        <v>40</v>
      </c>
      <c r="J392" s="37" t="s">
        <v>937</v>
      </c>
      <c r="L392" s="34" t="s">
        <v>186</v>
      </c>
      <c r="M392" s="35" t="s">
        <v>50</v>
      </c>
      <c r="N392" s="24"/>
      <c r="O392" s="34" t="s">
        <v>29</v>
      </c>
      <c r="P392" s="34">
        <v>16.0</v>
      </c>
      <c r="Q392" s="36"/>
      <c r="R392" s="36"/>
      <c r="S392" s="36"/>
    </row>
    <row r="393" ht="15.75" customHeight="1">
      <c r="A393" s="33">
        <v>45470.20930578704</v>
      </c>
      <c r="B393" s="34" t="s">
        <v>254</v>
      </c>
      <c r="C393" s="34" t="s">
        <v>936</v>
      </c>
      <c r="D393" s="34" t="s">
        <v>38</v>
      </c>
      <c r="E393" s="34" t="s">
        <v>43</v>
      </c>
      <c r="F393" s="34">
        <v>2.0</v>
      </c>
      <c r="G393" s="34">
        <v>48.0</v>
      </c>
      <c r="H393" s="34" t="s">
        <v>40</v>
      </c>
      <c r="I393" s="34" t="s">
        <v>40</v>
      </c>
      <c r="J393" s="37" t="s">
        <v>938</v>
      </c>
      <c r="L393" s="34" t="s">
        <v>186</v>
      </c>
      <c r="M393" s="35" t="s">
        <v>116</v>
      </c>
      <c r="N393" s="24"/>
      <c r="O393" s="34" t="s">
        <v>40</v>
      </c>
      <c r="P393" s="34">
        <v>16.0</v>
      </c>
      <c r="Q393" s="36"/>
      <c r="R393" s="36"/>
      <c r="S393" s="36"/>
    </row>
    <row r="394" ht="15.75" customHeight="1">
      <c r="A394" s="33">
        <v>45470.23127892361</v>
      </c>
      <c r="B394" s="34" t="s">
        <v>254</v>
      </c>
      <c r="C394" s="34" t="s">
        <v>936</v>
      </c>
      <c r="D394" s="34" t="s">
        <v>38</v>
      </c>
      <c r="E394" s="34" t="s">
        <v>43</v>
      </c>
      <c r="F394" s="34">
        <v>2.0</v>
      </c>
      <c r="G394" s="34">
        <v>32.0</v>
      </c>
      <c r="H394" s="34" t="s">
        <v>29</v>
      </c>
      <c r="I394" s="34" t="s">
        <v>40</v>
      </c>
      <c r="J394" s="37" t="s">
        <v>939</v>
      </c>
      <c r="L394" s="34" t="s">
        <v>186</v>
      </c>
      <c r="M394" s="37" t="s">
        <v>210</v>
      </c>
      <c r="N394" s="24"/>
      <c r="O394" s="34" t="s">
        <v>40</v>
      </c>
      <c r="P394" s="34">
        <v>16.0</v>
      </c>
      <c r="Q394" s="36"/>
      <c r="R394" s="36"/>
      <c r="S394" s="36"/>
    </row>
    <row r="395" ht="15.75" customHeight="1">
      <c r="A395" s="33">
        <v>45472.88458265046</v>
      </c>
      <c r="B395" s="34" t="s">
        <v>288</v>
      </c>
      <c r="C395" s="34" t="s">
        <v>841</v>
      </c>
      <c r="D395" s="34" t="s">
        <v>716</v>
      </c>
      <c r="E395" s="34" t="s">
        <v>940</v>
      </c>
      <c r="F395" s="34">
        <v>1.0</v>
      </c>
      <c r="G395" s="34">
        <v>18.0</v>
      </c>
      <c r="H395" s="34" t="s">
        <v>29</v>
      </c>
      <c r="I395" s="34" t="s">
        <v>40</v>
      </c>
      <c r="J395" s="24"/>
      <c r="L395" s="34" t="s">
        <v>111</v>
      </c>
      <c r="M395" s="37" t="s">
        <v>131</v>
      </c>
      <c r="N395" s="37" t="s">
        <v>941</v>
      </c>
      <c r="O395" s="34" t="s">
        <v>40</v>
      </c>
      <c r="P395" s="34">
        <v>16.0</v>
      </c>
      <c r="Q395" s="36"/>
      <c r="R395" s="36"/>
      <c r="S395" s="36"/>
    </row>
    <row r="396" ht="15.75" customHeight="1">
      <c r="A396" s="33">
        <v>45474.52075034722</v>
      </c>
      <c r="B396" s="34" t="s">
        <v>288</v>
      </c>
      <c r="C396" s="34" t="s">
        <v>841</v>
      </c>
      <c r="D396" s="34" t="s">
        <v>27</v>
      </c>
      <c r="E396" s="34" t="s">
        <v>942</v>
      </c>
      <c r="F396" s="34">
        <v>1.0</v>
      </c>
      <c r="G396" s="34">
        <v>18.0</v>
      </c>
      <c r="H396" s="34" t="s">
        <v>40</v>
      </c>
      <c r="J396" s="37" t="s">
        <v>829</v>
      </c>
      <c r="M396" s="24"/>
      <c r="N396" s="24"/>
      <c r="O396" s="34" t="s">
        <v>40</v>
      </c>
      <c r="P396" s="34">
        <v>16.0</v>
      </c>
      <c r="Q396" s="36"/>
      <c r="R396" s="36"/>
      <c r="S396" s="36"/>
    </row>
    <row r="397" ht="15.75" customHeight="1">
      <c r="A397" s="33">
        <v>45476.675777337965</v>
      </c>
      <c r="B397" s="34" t="s">
        <v>465</v>
      </c>
      <c r="C397" s="34" t="s">
        <v>841</v>
      </c>
      <c r="D397" s="34" t="s">
        <v>71</v>
      </c>
      <c r="E397" s="34" t="s">
        <v>491</v>
      </c>
      <c r="F397" s="34">
        <v>1.0</v>
      </c>
      <c r="G397" s="34">
        <v>18.0</v>
      </c>
      <c r="H397" s="34" t="s">
        <v>29</v>
      </c>
      <c r="I397" s="34" t="s">
        <v>40</v>
      </c>
      <c r="J397" s="24"/>
      <c r="L397" s="34" t="s">
        <v>943</v>
      </c>
      <c r="M397" s="35" t="s">
        <v>944</v>
      </c>
      <c r="N397" s="24"/>
      <c r="O397" s="34" t="s">
        <v>126</v>
      </c>
      <c r="P397" s="34">
        <v>16.0</v>
      </c>
      <c r="Q397" s="36"/>
      <c r="R397" s="36"/>
      <c r="S397" s="36"/>
    </row>
    <row r="398" ht="15.75" customHeight="1">
      <c r="A398" s="33">
        <v>45477.896713379625</v>
      </c>
      <c r="B398" s="34" t="s">
        <v>288</v>
      </c>
      <c r="C398" s="34" t="s">
        <v>841</v>
      </c>
      <c r="D398" s="34" t="s">
        <v>38</v>
      </c>
      <c r="E398" s="34" t="s">
        <v>39</v>
      </c>
      <c r="G398" s="34">
        <v>18.0</v>
      </c>
      <c r="H398" s="34" t="s">
        <v>29</v>
      </c>
      <c r="I398" s="34" t="s">
        <v>40</v>
      </c>
      <c r="J398" s="24"/>
      <c r="M398" s="35" t="s">
        <v>50</v>
      </c>
      <c r="N398" s="24"/>
      <c r="O398" s="34" t="s">
        <v>40</v>
      </c>
      <c r="P398" s="34">
        <v>16.0</v>
      </c>
      <c r="Q398" s="36"/>
      <c r="R398" s="36"/>
      <c r="S398" s="36"/>
    </row>
    <row r="399" ht="15.75" customHeight="1">
      <c r="A399" s="33">
        <v>45479.523255416665</v>
      </c>
      <c r="B399" s="34" t="s">
        <v>66</v>
      </c>
      <c r="C399" s="34" t="s">
        <v>841</v>
      </c>
      <c r="D399" s="34" t="s">
        <v>38</v>
      </c>
      <c r="E399" s="34" t="s">
        <v>945</v>
      </c>
      <c r="F399" s="34">
        <v>1.0</v>
      </c>
      <c r="G399" s="34">
        <v>6.0</v>
      </c>
      <c r="H399" s="34" t="s">
        <v>29</v>
      </c>
      <c r="I399" s="34" t="s">
        <v>40</v>
      </c>
      <c r="J399" s="24"/>
      <c r="K399" s="34" t="s">
        <v>946</v>
      </c>
      <c r="L399" s="34" t="s">
        <v>31</v>
      </c>
      <c r="M399" s="35" t="s">
        <v>487</v>
      </c>
      <c r="N399" s="37" t="s">
        <v>947</v>
      </c>
      <c r="O399" s="34" t="s">
        <v>40</v>
      </c>
      <c r="P399" s="34">
        <v>4.0</v>
      </c>
      <c r="Q399" s="36"/>
      <c r="R399" s="36"/>
      <c r="S399" s="36"/>
    </row>
    <row r="400" ht="15.75" customHeight="1">
      <c r="A400" s="33">
        <v>45480.88219795139</v>
      </c>
      <c r="B400" s="34" t="s">
        <v>54</v>
      </c>
      <c r="C400" s="34" t="s">
        <v>704</v>
      </c>
      <c r="D400" s="34" t="s">
        <v>27</v>
      </c>
      <c r="E400" s="34" t="s">
        <v>52</v>
      </c>
      <c r="F400" s="34">
        <v>2.0</v>
      </c>
      <c r="G400" s="34">
        <v>64.0</v>
      </c>
      <c r="H400" s="34" t="s">
        <v>29</v>
      </c>
      <c r="I400" s="34" t="s">
        <v>40</v>
      </c>
      <c r="J400" s="24"/>
      <c r="K400" s="34" t="s">
        <v>948</v>
      </c>
      <c r="L400" s="34" t="s">
        <v>111</v>
      </c>
      <c r="M400" s="37" t="s">
        <v>210</v>
      </c>
      <c r="N400" s="24"/>
      <c r="O400" s="34" t="s">
        <v>40</v>
      </c>
      <c r="P400" s="34">
        <v>32.0</v>
      </c>
      <c r="Q400" s="36"/>
      <c r="R400" s="36"/>
      <c r="S400" s="36"/>
    </row>
    <row r="401" ht="15.75" customHeight="1">
      <c r="A401" s="33">
        <v>45483.88194409722</v>
      </c>
      <c r="B401" s="34" t="s">
        <v>36</v>
      </c>
      <c r="C401" s="34" t="s">
        <v>26</v>
      </c>
      <c r="D401" s="34" t="s">
        <v>38</v>
      </c>
      <c r="E401" s="34" t="s">
        <v>59</v>
      </c>
      <c r="F401" s="34">
        <v>1.0</v>
      </c>
      <c r="G401" s="34">
        <v>20.0</v>
      </c>
      <c r="H401" s="34" t="s">
        <v>29</v>
      </c>
      <c r="I401" s="34" t="s">
        <v>40</v>
      </c>
      <c r="J401" s="37" t="s">
        <v>949</v>
      </c>
      <c r="K401" s="34" t="s">
        <v>950</v>
      </c>
      <c r="L401" s="34" t="s">
        <v>31</v>
      </c>
      <c r="M401" s="37" t="s">
        <v>418</v>
      </c>
      <c r="N401" s="24"/>
      <c r="O401" s="34" t="s">
        <v>126</v>
      </c>
      <c r="P401" s="34">
        <v>16.0</v>
      </c>
      <c r="Q401" s="36"/>
      <c r="R401" s="36"/>
      <c r="S401" s="36"/>
    </row>
    <row r="402" ht="15.75" customHeight="1">
      <c r="A402" s="33">
        <v>45486.58413163194</v>
      </c>
      <c r="B402" s="34" t="s">
        <v>288</v>
      </c>
      <c r="C402" s="34" t="s">
        <v>841</v>
      </c>
      <c r="D402" s="34" t="s">
        <v>27</v>
      </c>
      <c r="E402" s="34" t="s">
        <v>212</v>
      </c>
      <c r="F402" s="34">
        <v>1.0</v>
      </c>
      <c r="G402" s="34">
        <v>18.0</v>
      </c>
      <c r="H402" s="34" t="s">
        <v>29</v>
      </c>
      <c r="I402" s="34" t="s">
        <v>40</v>
      </c>
      <c r="J402" s="37" t="s">
        <v>951</v>
      </c>
      <c r="K402" s="34" t="s">
        <v>952</v>
      </c>
      <c r="L402" s="34" t="s">
        <v>140</v>
      </c>
      <c r="M402" s="37" t="s">
        <v>953</v>
      </c>
      <c r="N402" s="37" t="s">
        <v>954</v>
      </c>
      <c r="O402" s="34" t="s">
        <v>40</v>
      </c>
      <c r="P402" s="34">
        <v>16.0</v>
      </c>
      <c r="Q402" s="36"/>
      <c r="R402" s="36"/>
      <c r="S402" s="36"/>
    </row>
    <row r="403" ht="15.75" customHeight="1">
      <c r="A403" s="33">
        <v>45487.08732255787</v>
      </c>
      <c r="B403" s="34" t="s">
        <v>465</v>
      </c>
      <c r="C403" s="34" t="s">
        <v>841</v>
      </c>
      <c r="D403" s="34" t="s">
        <v>127</v>
      </c>
      <c r="E403" s="34" t="s">
        <v>955</v>
      </c>
      <c r="F403" s="34">
        <v>1.0</v>
      </c>
      <c r="G403" s="34">
        <v>10.0</v>
      </c>
      <c r="H403" s="34" t="s">
        <v>29</v>
      </c>
      <c r="I403" s="34" t="s">
        <v>40</v>
      </c>
      <c r="J403" s="24"/>
      <c r="L403" s="34" t="s">
        <v>608</v>
      </c>
      <c r="M403" s="37" t="s">
        <v>956</v>
      </c>
      <c r="N403" s="37" t="s">
        <v>957</v>
      </c>
      <c r="O403" s="34" t="s">
        <v>40</v>
      </c>
      <c r="P403" s="34">
        <v>8.0</v>
      </c>
      <c r="Q403" s="36"/>
      <c r="R403" s="36"/>
      <c r="S403" s="36"/>
    </row>
    <row r="404" ht="15.75" customHeight="1">
      <c r="A404" s="33">
        <v>45487.838090300924</v>
      </c>
      <c r="B404" s="34" t="s">
        <v>2</v>
      </c>
      <c r="C404" s="34" t="s">
        <v>841</v>
      </c>
      <c r="D404" s="34" t="s">
        <v>922</v>
      </c>
      <c r="E404" s="34" t="s">
        <v>923</v>
      </c>
      <c r="F404" s="34">
        <v>1.0</v>
      </c>
      <c r="G404" s="34">
        <v>20.0</v>
      </c>
      <c r="H404" s="34" t="s">
        <v>29</v>
      </c>
      <c r="I404" s="34" t="s">
        <v>40</v>
      </c>
      <c r="J404" s="24"/>
      <c r="L404" s="34" t="s">
        <v>31</v>
      </c>
      <c r="M404" s="35" t="s">
        <v>230</v>
      </c>
      <c r="N404" s="37" t="s">
        <v>958</v>
      </c>
      <c r="O404" s="34" t="s">
        <v>126</v>
      </c>
      <c r="P404" s="34">
        <v>16.0</v>
      </c>
      <c r="Q404" s="36"/>
      <c r="R404" s="36"/>
      <c r="S404" s="36"/>
    </row>
    <row r="405" ht="15.75" customHeight="1">
      <c r="A405" s="33">
        <v>45487.90469099537</v>
      </c>
      <c r="B405" s="34" t="s">
        <v>288</v>
      </c>
      <c r="C405" s="34" t="s">
        <v>841</v>
      </c>
      <c r="D405" s="34" t="s">
        <v>38</v>
      </c>
      <c r="E405" s="34" t="s">
        <v>400</v>
      </c>
      <c r="F405" s="34">
        <v>1.0</v>
      </c>
      <c r="G405" s="34">
        <v>18.0</v>
      </c>
      <c r="H405" s="34" t="s">
        <v>40</v>
      </c>
      <c r="I405" s="34" t="s">
        <v>40</v>
      </c>
      <c r="J405" s="24"/>
      <c r="L405" s="34" t="s">
        <v>445</v>
      </c>
      <c r="M405" s="35" t="s">
        <v>50</v>
      </c>
      <c r="N405" s="24"/>
      <c r="O405" s="34" t="s">
        <v>40</v>
      </c>
      <c r="P405" s="34">
        <v>16.0</v>
      </c>
      <c r="Q405" s="36"/>
      <c r="R405" s="36"/>
      <c r="S405" s="36"/>
    </row>
    <row r="406" ht="15.75" customHeight="1">
      <c r="A406" s="33">
        <v>45489.55977125</v>
      </c>
      <c r="B406" s="34" t="s">
        <v>288</v>
      </c>
      <c r="C406" s="34" t="s">
        <v>841</v>
      </c>
      <c r="D406" s="34" t="s">
        <v>38</v>
      </c>
      <c r="E406" s="34" t="s">
        <v>959</v>
      </c>
      <c r="F406" s="34">
        <v>1.0</v>
      </c>
      <c r="G406" s="34">
        <v>6.0</v>
      </c>
      <c r="H406" s="34" t="s">
        <v>29</v>
      </c>
      <c r="I406" s="34" t="s">
        <v>40</v>
      </c>
      <c r="J406" s="24"/>
      <c r="K406" s="34" t="s">
        <v>960</v>
      </c>
      <c r="L406" s="34" t="s">
        <v>151</v>
      </c>
      <c r="M406" s="37" t="s">
        <v>961</v>
      </c>
      <c r="N406" s="37" t="s">
        <v>962</v>
      </c>
      <c r="O406" s="34" t="s">
        <v>40</v>
      </c>
      <c r="P406" s="34">
        <v>4.0</v>
      </c>
      <c r="Q406" s="36"/>
      <c r="R406" s="36"/>
      <c r="S406" s="36"/>
    </row>
    <row r="407" ht="15.75" customHeight="1">
      <c r="A407" s="33">
        <v>45490.587624039355</v>
      </c>
      <c r="B407" s="34" t="s">
        <v>66</v>
      </c>
      <c r="C407" s="34" t="s">
        <v>841</v>
      </c>
      <c r="D407" s="34" t="s">
        <v>963</v>
      </c>
      <c r="E407" s="34" t="s">
        <v>964</v>
      </c>
      <c r="F407" s="34">
        <v>1.0</v>
      </c>
      <c r="G407" s="34">
        <v>10.0</v>
      </c>
      <c r="H407" s="34" t="s">
        <v>29</v>
      </c>
      <c r="I407" s="34" t="s">
        <v>40</v>
      </c>
      <c r="J407" s="37" t="s">
        <v>965</v>
      </c>
      <c r="K407" s="34" t="s">
        <v>966</v>
      </c>
      <c r="L407" s="34" t="s">
        <v>31</v>
      </c>
      <c r="M407" s="35" t="s">
        <v>487</v>
      </c>
      <c r="N407" s="24"/>
      <c r="O407" s="34" t="s">
        <v>40</v>
      </c>
      <c r="P407" s="34">
        <v>8.0</v>
      </c>
      <c r="Q407" s="36"/>
      <c r="R407" s="36"/>
      <c r="S407" s="36"/>
    </row>
    <row r="408" ht="15.75" customHeight="1">
      <c r="A408" s="33">
        <v>45494.62323648148</v>
      </c>
      <c r="B408" s="34" t="s">
        <v>118</v>
      </c>
      <c r="C408" s="34" t="s">
        <v>841</v>
      </c>
      <c r="D408" s="34" t="s">
        <v>38</v>
      </c>
      <c r="E408" s="34" t="s">
        <v>967</v>
      </c>
      <c r="F408" s="34">
        <v>1.0</v>
      </c>
      <c r="G408" s="34">
        <v>18.0</v>
      </c>
      <c r="H408" s="34" t="s">
        <v>29</v>
      </c>
      <c r="I408" s="34" t="s">
        <v>40</v>
      </c>
      <c r="J408" s="24"/>
      <c r="L408" s="34" t="s">
        <v>111</v>
      </c>
      <c r="M408" s="37" t="s">
        <v>968</v>
      </c>
      <c r="N408" s="37" t="s">
        <v>969</v>
      </c>
      <c r="O408" s="34" t="s">
        <v>40</v>
      </c>
      <c r="P408" s="34">
        <v>16.0</v>
      </c>
      <c r="Q408" s="36"/>
      <c r="R408" s="36"/>
      <c r="S408" s="36"/>
    </row>
    <row r="409" ht="15.75" customHeight="1">
      <c r="A409" s="33">
        <v>45499.831862499996</v>
      </c>
      <c r="B409" s="34" t="s">
        <v>298</v>
      </c>
      <c r="C409" s="34" t="s">
        <v>350</v>
      </c>
      <c r="D409" s="34" t="s">
        <v>38</v>
      </c>
      <c r="E409" s="34" t="s">
        <v>970</v>
      </c>
      <c r="F409" s="34">
        <v>2.0</v>
      </c>
      <c r="G409" s="34">
        <v>16.0</v>
      </c>
      <c r="H409" s="34" t="s">
        <v>29</v>
      </c>
      <c r="I409" s="34" t="s">
        <v>40</v>
      </c>
      <c r="J409" s="37" t="s">
        <v>971</v>
      </c>
      <c r="K409" s="34" t="s">
        <v>972</v>
      </c>
      <c r="L409" s="34" t="s">
        <v>140</v>
      </c>
      <c r="M409" s="35" t="s">
        <v>335</v>
      </c>
      <c r="N409" s="37" t="s">
        <v>973</v>
      </c>
      <c r="O409" s="34" t="s">
        <v>40</v>
      </c>
      <c r="P409" s="34">
        <v>8.0</v>
      </c>
      <c r="Q409" s="36"/>
      <c r="R409" s="36"/>
      <c r="S409" s="36"/>
    </row>
    <row r="410" ht="15.75" customHeight="1">
      <c r="A410" s="33">
        <v>45501.819968564814</v>
      </c>
      <c r="B410" s="34" t="s">
        <v>66</v>
      </c>
      <c r="C410" s="34" t="s">
        <v>841</v>
      </c>
      <c r="D410" s="34" t="s">
        <v>38</v>
      </c>
      <c r="E410" s="34" t="s">
        <v>368</v>
      </c>
      <c r="F410" s="34">
        <v>1.0</v>
      </c>
      <c r="G410" s="34">
        <v>18.0</v>
      </c>
      <c r="H410" s="34" t="s">
        <v>40</v>
      </c>
      <c r="I410" s="34" t="s">
        <v>40</v>
      </c>
      <c r="J410" s="37" t="s">
        <v>974</v>
      </c>
      <c r="K410" s="34" t="s">
        <v>975</v>
      </c>
      <c r="L410" s="34" t="s">
        <v>31</v>
      </c>
      <c r="M410" s="37" t="s">
        <v>210</v>
      </c>
      <c r="N410" s="24"/>
      <c r="O410" s="34" t="s">
        <v>40</v>
      </c>
      <c r="P410" s="34">
        <v>16.0</v>
      </c>
      <c r="Q410" s="36"/>
      <c r="R410" s="36"/>
      <c r="S410" s="36"/>
    </row>
    <row r="411" ht="15.75" customHeight="1">
      <c r="A411" s="33">
        <v>45503.45507391204</v>
      </c>
      <c r="B411" s="34" t="s">
        <v>288</v>
      </c>
      <c r="D411" s="34" t="s">
        <v>976</v>
      </c>
      <c r="E411" s="34" t="s">
        <v>977</v>
      </c>
      <c r="H411" s="34" t="s">
        <v>29</v>
      </c>
      <c r="J411" s="24"/>
      <c r="M411" s="24"/>
      <c r="N411" s="24"/>
    </row>
    <row r="412" ht="15.75" customHeight="1">
      <c r="A412" s="33">
        <v>45503.84148795139</v>
      </c>
      <c r="B412" s="34" t="s">
        <v>465</v>
      </c>
      <c r="C412" s="34" t="s">
        <v>841</v>
      </c>
      <c r="D412" s="34" t="s">
        <v>579</v>
      </c>
      <c r="E412" s="34" t="s">
        <v>149</v>
      </c>
      <c r="F412" s="34">
        <v>1.0</v>
      </c>
      <c r="G412" s="34">
        <v>18.0</v>
      </c>
      <c r="H412" s="34" t="s">
        <v>29</v>
      </c>
      <c r="I412" s="34" t="s">
        <v>40</v>
      </c>
      <c r="J412" s="24"/>
      <c r="L412" s="34" t="s">
        <v>538</v>
      </c>
      <c r="M412" s="35" t="s">
        <v>978</v>
      </c>
      <c r="N412" s="37" t="s">
        <v>979</v>
      </c>
      <c r="O412" s="34" t="s">
        <v>40</v>
      </c>
      <c r="P412" s="34">
        <v>16.0</v>
      </c>
      <c r="Q412" s="36"/>
      <c r="R412" s="36"/>
      <c r="S412" s="36"/>
    </row>
    <row r="413" ht="15.75" customHeight="1">
      <c r="A413" s="33">
        <v>45504.46070134259</v>
      </c>
      <c r="B413" s="34" t="s">
        <v>980</v>
      </c>
      <c r="C413" s="34" t="s">
        <v>51</v>
      </c>
      <c r="D413" s="34" t="s">
        <v>86</v>
      </c>
      <c r="E413" s="34" t="s">
        <v>981</v>
      </c>
      <c r="F413" s="34">
        <v>2.0</v>
      </c>
      <c r="G413" s="34">
        <v>16.0</v>
      </c>
      <c r="H413" s="34" t="s">
        <v>29</v>
      </c>
      <c r="I413" s="34" t="s">
        <v>40</v>
      </c>
      <c r="J413" s="24"/>
      <c r="L413" s="34" t="s">
        <v>31</v>
      </c>
      <c r="M413" s="24"/>
      <c r="N413" s="37" t="s">
        <v>982</v>
      </c>
      <c r="O413" s="34" t="s">
        <v>126</v>
      </c>
      <c r="P413" s="34">
        <v>8.0</v>
      </c>
      <c r="Q413" s="36"/>
      <c r="R413" s="36"/>
      <c r="S413" s="36"/>
    </row>
    <row r="414" ht="15.75" customHeight="1">
      <c r="A414" s="33">
        <v>45504.53882724537</v>
      </c>
      <c r="B414" s="34" t="s">
        <v>288</v>
      </c>
      <c r="C414" s="34" t="s">
        <v>841</v>
      </c>
      <c r="D414" s="34" t="s">
        <v>38</v>
      </c>
      <c r="E414" s="34" t="s">
        <v>57</v>
      </c>
      <c r="F414" s="34">
        <v>1.0</v>
      </c>
      <c r="G414" s="34">
        <v>6.0</v>
      </c>
      <c r="H414" s="34" t="s">
        <v>29</v>
      </c>
      <c r="I414" s="34" t="s">
        <v>40</v>
      </c>
      <c r="J414" s="37" t="s">
        <v>983</v>
      </c>
      <c r="K414" s="34" t="s">
        <v>984</v>
      </c>
      <c r="L414" s="34" t="s">
        <v>103</v>
      </c>
      <c r="M414" s="35" t="s">
        <v>122</v>
      </c>
      <c r="N414" s="24"/>
      <c r="O414" s="34" t="s">
        <v>40</v>
      </c>
      <c r="P414" s="34">
        <v>4.0</v>
      </c>
      <c r="Q414" s="36"/>
      <c r="R414" s="36"/>
      <c r="S414" s="36"/>
    </row>
    <row r="415" ht="15.75" customHeight="1">
      <c r="A415" s="33">
        <v>45506.250250185185</v>
      </c>
      <c r="B415" s="34" t="s">
        <v>2</v>
      </c>
      <c r="C415" s="34" t="s">
        <v>544</v>
      </c>
      <c r="D415" s="34" t="s">
        <v>985</v>
      </c>
      <c r="E415" s="34" t="s">
        <v>165</v>
      </c>
      <c r="F415" s="34">
        <v>1.0</v>
      </c>
      <c r="G415" s="34">
        <v>20.0</v>
      </c>
      <c r="H415" s="34" t="s">
        <v>29</v>
      </c>
      <c r="I415" s="34" t="s">
        <v>40</v>
      </c>
      <c r="J415" s="37" t="s">
        <v>986</v>
      </c>
      <c r="K415" s="34" t="s">
        <v>987</v>
      </c>
      <c r="L415" s="34" t="s">
        <v>988</v>
      </c>
      <c r="M415" s="35" t="s">
        <v>116</v>
      </c>
      <c r="N415" s="37" t="s">
        <v>989</v>
      </c>
      <c r="O415" s="34" t="s">
        <v>29</v>
      </c>
      <c r="P415" s="34">
        <v>16.0</v>
      </c>
      <c r="Q415" s="36"/>
      <c r="R415" s="36"/>
      <c r="S415" s="36"/>
    </row>
    <row r="416" ht="15.75" customHeight="1">
      <c r="A416" s="33">
        <v>45506.2570884375</v>
      </c>
      <c r="B416" s="34" t="s">
        <v>138</v>
      </c>
      <c r="C416" s="34" t="s">
        <v>841</v>
      </c>
      <c r="D416" s="34" t="s">
        <v>985</v>
      </c>
      <c r="E416" s="34" t="s">
        <v>165</v>
      </c>
      <c r="F416" s="34">
        <v>1.0</v>
      </c>
      <c r="G416" s="34">
        <v>18.0</v>
      </c>
      <c r="H416" s="34" t="s">
        <v>29</v>
      </c>
      <c r="I416" s="34" t="s">
        <v>40</v>
      </c>
      <c r="J416" s="37" t="s">
        <v>990</v>
      </c>
      <c r="K416" s="34" t="s">
        <v>991</v>
      </c>
      <c r="L416" s="34" t="s">
        <v>992</v>
      </c>
      <c r="M416" s="38" t="s">
        <v>50</v>
      </c>
      <c r="N416" s="37" t="s">
        <v>993</v>
      </c>
      <c r="O416" s="34" t="s">
        <v>29</v>
      </c>
      <c r="P416" s="34">
        <v>16.0</v>
      </c>
      <c r="Q416" s="36"/>
      <c r="R416" s="36"/>
      <c r="S416" s="36"/>
    </row>
    <row r="417" ht="15.75" customHeight="1">
      <c r="A417" s="33">
        <v>45509.46615548611</v>
      </c>
      <c r="B417" s="34" t="s">
        <v>2</v>
      </c>
      <c r="C417" s="34" t="s">
        <v>841</v>
      </c>
      <c r="D417" s="34" t="s">
        <v>27</v>
      </c>
      <c r="E417" s="34" t="s">
        <v>28</v>
      </c>
      <c r="F417" s="34">
        <v>2.0</v>
      </c>
      <c r="G417" s="34">
        <v>16.0</v>
      </c>
      <c r="H417" s="34" t="s">
        <v>29</v>
      </c>
      <c r="I417" s="34" t="s">
        <v>40</v>
      </c>
      <c r="J417" s="37" t="s">
        <v>994</v>
      </c>
      <c r="K417" s="34" t="s">
        <v>995</v>
      </c>
      <c r="L417" s="34" t="s">
        <v>93</v>
      </c>
      <c r="M417" s="35" t="s">
        <v>50</v>
      </c>
      <c r="N417" s="24"/>
      <c r="O417" s="34" t="s">
        <v>29</v>
      </c>
      <c r="P417" s="34">
        <v>8.0</v>
      </c>
      <c r="Q417" s="36"/>
      <c r="R417" s="36"/>
      <c r="S417" s="36"/>
    </row>
    <row r="418" ht="15.75" customHeight="1">
      <c r="A418" s="33">
        <v>45509.70409586806</v>
      </c>
      <c r="B418" s="34" t="s">
        <v>138</v>
      </c>
      <c r="C418" s="34" t="s">
        <v>841</v>
      </c>
      <c r="D418" s="34" t="s">
        <v>27</v>
      </c>
      <c r="E418" s="34" t="s">
        <v>996</v>
      </c>
      <c r="F418" s="34">
        <v>1.0</v>
      </c>
      <c r="G418" s="34">
        <v>34.0</v>
      </c>
      <c r="H418" s="34" t="s">
        <v>29</v>
      </c>
      <c r="I418" s="34" t="s">
        <v>40</v>
      </c>
      <c r="J418" s="24"/>
      <c r="L418" s="34" t="s">
        <v>445</v>
      </c>
      <c r="M418" s="35" t="s">
        <v>681</v>
      </c>
      <c r="N418" s="24"/>
      <c r="O418" s="34" t="s">
        <v>29</v>
      </c>
      <c r="P418" s="34">
        <v>32.0</v>
      </c>
      <c r="Q418" s="36"/>
      <c r="R418" s="36"/>
      <c r="S418" s="36"/>
    </row>
    <row r="419" ht="15.75" customHeight="1">
      <c r="A419" s="33">
        <v>45511.428459780094</v>
      </c>
      <c r="B419" s="34" t="s">
        <v>138</v>
      </c>
      <c r="C419" s="34" t="s">
        <v>841</v>
      </c>
      <c r="D419" s="34" t="s">
        <v>27</v>
      </c>
      <c r="E419" s="34" t="s">
        <v>28</v>
      </c>
      <c r="F419" s="34">
        <v>1.0</v>
      </c>
      <c r="G419" s="34">
        <v>18.0</v>
      </c>
      <c r="H419" s="34" t="s">
        <v>29</v>
      </c>
      <c r="I419" s="34" t="s">
        <v>40</v>
      </c>
      <c r="J419" s="24"/>
      <c r="L419" s="34" t="s">
        <v>186</v>
      </c>
      <c r="M419" s="37" t="s">
        <v>472</v>
      </c>
      <c r="N419" s="24"/>
      <c r="O419" s="34" t="s">
        <v>29</v>
      </c>
      <c r="P419" s="34">
        <v>16.0</v>
      </c>
      <c r="Q419" s="36"/>
      <c r="R419" s="36"/>
      <c r="S419" s="36"/>
    </row>
    <row r="420" ht="15.75" customHeight="1">
      <c r="A420" s="33">
        <v>45513.95034984953</v>
      </c>
      <c r="B420" s="34" t="s">
        <v>2</v>
      </c>
      <c r="C420" s="34" t="s">
        <v>841</v>
      </c>
      <c r="D420" s="34" t="s">
        <v>565</v>
      </c>
      <c r="E420" s="34" t="s">
        <v>864</v>
      </c>
      <c r="F420" s="34">
        <v>1.0</v>
      </c>
      <c r="G420" s="34">
        <v>20.0</v>
      </c>
      <c r="H420" s="34" t="s">
        <v>29</v>
      </c>
      <c r="I420" s="34" t="s">
        <v>40</v>
      </c>
      <c r="J420" s="24"/>
      <c r="L420" s="34" t="s">
        <v>111</v>
      </c>
      <c r="M420" s="35" t="s">
        <v>217</v>
      </c>
      <c r="N420" s="24"/>
      <c r="O420" s="34" t="s">
        <v>29</v>
      </c>
      <c r="P420" s="34">
        <v>16.0</v>
      </c>
      <c r="Q420" s="36"/>
      <c r="R420" s="36"/>
      <c r="S420" s="36"/>
    </row>
    <row r="421" ht="15.75" customHeight="1">
      <c r="A421" s="33">
        <v>45516.561941782405</v>
      </c>
      <c r="B421" s="34" t="s">
        <v>169</v>
      </c>
      <c r="C421" s="34" t="s">
        <v>841</v>
      </c>
      <c r="D421" s="34" t="s">
        <v>27</v>
      </c>
      <c r="E421" s="34" t="s">
        <v>997</v>
      </c>
      <c r="F421" s="34">
        <v>2.0</v>
      </c>
      <c r="G421" s="34">
        <v>32.0</v>
      </c>
      <c r="H421" s="34" t="s">
        <v>29</v>
      </c>
      <c r="I421" s="34" t="s">
        <v>40</v>
      </c>
      <c r="J421" s="24"/>
      <c r="L421" s="34" t="s">
        <v>31</v>
      </c>
      <c r="M421" s="37" t="s">
        <v>998</v>
      </c>
      <c r="N421" s="24"/>
      <c r="O421" s="34" t="s">
        <v>29</v>
      </c>
      <c r="P421" s="34">
        <v>16.0</v>
      </c>
      <c r="Q421" s="36"/>
      <c r="R421" s="36"/>
      <c r="S421" s="36"/>
    </row>
    <row r="422" ht="15.75" customHeight="1">
      <c r="A422" s="33">
        <v>45523.39333402777</v>
      </c>
      <c r="B422" s="34" t="s">
        <v>169</v>
      </c>
      <c r="C422" s="34" t="s">
        <v>841</v>
      </c>
      <c r="D422" s="34" t="s">
        <v>27</v>
      </c>
      <c r="E422" s="34" t="s">
        <v>999</v>
      </c>
      <c r="F422" s="34">
        <v>2.0</v>
      </c>
      <c r="G422" s="34">
        <v>32.0</v>
      </c>
      <c r="H422" s="34" t="s">
        <v>29</v>
      </c>
      <c r="I422" s="34" t="s">
        <v>40</v>
      </c>
      <c r="J422" s="37" t="s">
        <v>1000</v>
      </c>
      <c r="L422" s="34" t="s">
        <v>93</v>
      </c>
      <c r="M422" s="35" t="s">
        <v>225</v>
      </c>
      <c r="N422" s="37" t="s">
        <v>1001</v>
      </c>
      <c r="O422" s="34" t="s">
        <v>40</v>
      </c>
      <c r="P422" s="34">
        <v>16.0</v>
      </c>
      <c r="Q422" s="36"/>
      <c r="R422" s="36"/>
      <c r="S422" s="36"/>
    </row>
    <row r="423" ht="15.75" customHeight="1">
      <c r="A423" s="33">
        <v>45528.558614594906</v>
      </c>
      <c r="B423" s="34" t="s">
        <v>465</v>
      </c>
      <c r="C423" s="34" t="s">
        <v>704</v>
      </c>
      <c r="D423" s="34" t="s">
        <v>460</v>
      </c>
      <c r="E423" s="34" t="s">
        <v>1002</v>
      </c>
      <c r="F423" s="34">
        <v>1.0</v>
      </c>
      <c r="G423" s="34">
        <v>6.0</v>
      </c>
      <c r="H423" s="34" t="s">
        <v>29</v>
      </c>
      <c r="I423" s="34" t="s">
        <v>40</v>
      </c>
      <c r="J423" s="24"/>
      <c r="L423" s="34" t="s">
        <v>366</v>
      </c>
      <c r="M423" s="37" t="s">
        <v>1003</v>
      </c>
      <c r="N423" s="24"/>
      <c r="O423" s="34" t="s">
        <v>40</v>
      </c>
      <c r="P423" s="34">
        <v>4.0</v>
      </c>
      <c r="Q423" s="36"/>
      <c r="R423" s="36"/>
      <c r="S423" s="36"/>
    </row>
    <row r="424" ht="15.75" customHeight="1">
      <c r="A424" s="33">
        <v>45528.89340217593</v>
      </c>
      <c r="B424" s="34" t="s">
        <v>36</v>
      </c>
      <c r="D424" s="34" t="s">
        <v>38</v>
      </c>
      <c r="E424" s="34" t="s">
        <v>1004</v>
      </c>
      <c r="H424" s="34" t="s">
        <v>29</v>
      </c>
      <c r="J424" s="24"/>
      <c r="M424" s="24"/>
      <c r="N424" s="24"/>
    </row>
    <row r="425" ht="15.75" customHeight="1">
      <c r="A425" s="33">
        <v>45531.99927342593</v>
      </c>
      <c r="B425" s="34" t="s">
        <v>465</v>
      </c>
      <c r="C425" s="34" t="s">
        <v>841</v>
      </c>
      <c r="D425" s="34" t="s">
        <v>38</v>
      </c>
      <c r="E425" s="34" t="s">
        <v>400</v>
      </c>
      <c r="F425" s="34">
        <v>1.0</v>
      </c>
      <c r="G425" s="34">
        <v>18.0</v>
      </c>
      <c r="H425" s="34" t="s">
        <v>29</v>
      </c>
      <c r="I425" s="34" t="s">
        <v>40</v>
      </c>
      <c r="J425" s="24"/>
      <c r="K425" s="34" t="s">
        <v>1005</v>
      </c>
      <c r="L425" s="34" t="s">
        <v>111</v>
      </c>
      <c r="M425" s="37" t="s">
        <v>260</v>
      </c>
      <c r="N425" s="24"/>
      <c r="O425" s="34" t="s">
        <v>126</v>
      </c>
      <c r="P425" s="34">
        <v>16.0</v>
      </c>
      <c r="Q425" s="36"/>
      <c r="R425" s="36"/>
      <c r="S425" s="36"/>
    </row>
    <row r="426" ht="15.75" customHeight="1">
      <c r="A426" s="33">
        <v>45532.626574884256</v>
      </c>
      <c r="B426" s="34" t="s">
        <v>45</v>
      </c>
      <c r="C426" s="34" t="s">
        <v>841</v>
      </c>
      <c r="D426" s="34" t="s">
        <v>47</v>
      </c>
      <c r="E426" s="34" t="s">
        <v>1006</v>
      </c>
      <c r="F426" s="34">
        <v>2.0</v>
      </c>
      <c r="G426" s="34">
        <v>32.0</v>
      </c>
      <c r="H426" s="34" t="s">
        <v>29</v>
      </c>
      <c r="I426" s="34" t="s">
        <v>40</v>
      </c>
      <c r="J426" s="24"/>
      <c r="K426" s="34" t="s">
        <v>1007</v>
      </c>
      <c r="L426" s="34" t="s">
        <v>111</v>
      </c>
      <c r="M426" s="37" t="s">
        <v>210</v>
      </c>
      <c r="N426" s="24"/>
      <c r="O426" s="34" t="s">
        <v>29</v>
      </c>
      <c r="P426" s="34">
        <v>16.0</v>
      </c>
      <c r="Q426" s="36"/>
      <c r="R426" s="36"/>
      <c r="S426" s="36"/>
    </row>
    <row r="427" ht="15.75" customHeight="1">
      <c r="A427" s="33">
        <v>45534.433195798614</v>
      </c>
      <c r="B427" s="34" t="s">
        <v>465</v>
      </c>
      <c r="C427" s="34" t="s">
        <v>841</v>
      </c>
      <c r="D427" s="34" t="s">
        <v>565</v>
      </c>
      <c r="E427" s="34" t="s">
        <v>1008</v>
      </c>
      <c r="F427" s="34">
        <v>1.0</v>
      </c>
      <c r="G427" s="34">
        <v>18.0</v>
      </c>
      <c r="H427" s="34" t="s">
        <v>40</v>
      </c>
      <c r="J427" s="37" t="s">
        <v>1009</v>
      </c>
      <c r="M427" s="35" t="s">
        <v>50</v>
      </c>
      <c r="N427" s="37" t="s">
        <v>1010</v>
      </c>
      <c r="O427" s="34" t="s">
        <v>40</v>
      </c>
      <c r="P427" s="34">
        <v>16.0</v>
      </c>
      <c r="Q427" s="36"/>
      <c r="R427" s="36"/>
      <c r="S427" s="36"/>
    </row>
    <row r="428" ht="15.75" customHeight="1">
      <c r="A428" s="33">
        <v>45534.90467778935</v>
      </c>
      <c r="B428" s="34" t="s">
        <v>42</v>
      </c>
      <c r="C428" s="34" t="s">
        <v>841</v>
      </c>
      <c r="D428" s="34" t="s">
        <v>27</v>
      </c>
      <c r="E428" s="34" t="s">
        <v>28</v>
      </c>
      <c r="F428" s="34">
        <v>2.0</v>
      </c>
      <c r="G428" s="34">
        <v>32.0</v>
      </c>
      <c r="H428" s="34" t="s">
        <v>29</v>
      </c>
      <c r="I428" s="34" t="s">
        <v>40</v>
      </c>
      <c r="J428" s="24"/>
      <c r="L428" s="34" t="s">
        <v>140</v>
      </c>
      <c r="M428" s="35" t="s">
        <v>1011</v>
      </c>
      <c r="N428" s="37" t="s">
        <v>1012</v>
      </c>
      <c r="O428" s="34" t="s">
        <v>29</v>
      </c>
      <c r="P428" s="34">
        <v>16.0</v>
      </c>
      <c r="Q428" s="36"/>
      <c r="R428" s="36"/>
      <c r="S428" s="36"/>
    </row>
    <row r="429" ht="15.75" customHeight="1">
      <c r="A429" s="33">
        <v>45535.96694857639</v>
      </c>
      <c r="B429" s="34" t="s">
        <v>2</v>
      </c>
      <c r="C429" s="34" t="s">
        <v>704</v>
      </c>
      <c r="D429" s="34" t="s">
        <v>565</v>
      </c>
      <c r="E429" s="34" t="s">
        <v>864</v>
      </c>
      <c r="F429" s="34">
        <v>1.0</v>
      </c>
      <c r="G429" s="34">
        <v>20.0</v>
      </c>
      <c r="H429" s="34" t="s">
        <v>29</v>
      </c>
      <c r="I429" s="34" t="s">
        <v>40</v>
      </c>
      <c r="J429" s="24"/>
      <c r="L429" s="34" t="s">
        <v>111</v>
      </c>
      <c r="M429" s="35" t="s">
        <v>50</v>
      </c>
      <c r="N429" s="37" t="s">
        <v>1013</v>
      </c>
      <c r="O429" s="34" t="s">
        <v>29</v>
      </c>
      <c r="P429" s="34">
        <v>16.0</v>
      </c>
      <c r="Q429" s="36"/>
      <c r="R429" s="36"/>
      <c r="S429" s="36"/>
    </row>
    <row r="430" ht="15.75" customHeight="1">
      <c r="A430" s="33">
        <v>45538.1722825926</v>
      </c>
      <c r="B430" s="34" t="s">
        <v>288</v>
      </c>
      <c r="C430" s="34" t="s">
        <v>841</v>
      </c>
      <c r="D430" s="34" t="s">
        <v>27</v>
      </c>
      <c r="E430" s="34" t="s">
        <v>1014</v>
      </c>
      <c r="F430" s="34">
        <v>1.0</v>
      </c>
      <c r="G430" s="34">
        <v>18.0</v>
      </c>
      <c r="H430" s="34" t="s">
        <v>29</v>
      </c>
      <c r="I430" s="34" t="s">
        <v>40</v>
      </c>
      <c r="J430" s="24"/>
      <c r="K430" s="34" t="s">
        <v>1015</v>
      </c>
      <c r="L430" s="34" t="s">
        <v>532</v>
      </c>
      <c r="M430" s="37" t="s">
        <v>533</v>
      </c>
      <c r="N430" s="37" t="s">
        <v>1016</v>
      </c>
      <c r="O430" s="34" t="s">
        <v>40</v>
      </c>
      <c r="P430" s="34">
        <v>16.0</v>
      </c>
      <c r="Q430" s="36"/>
      <c r="R430" s="36"/>
      <c r="S430" s="36"/>
    </row>
    <row r="431" ht="15.75" customHeight="1">
      <c r="A431" s="33">
        <v>45539.92018796296</v>
      </c>
      <c r="B431" s="34" t="s">
        <v>465</v>
      </c>
      <c r="C431" s="34" t="s">
        <v>841</v>
      </c>
      <c r="D431" s="34" t="s">
        <v>119</v>
      </c>
      <c r="E431" s="34" t="s">
        <v>592</v>
      </c>
      <c r="F431" s="34">
        <v>1.0</v>
      </c>
      <c r="G431" s="34">
        <v>6.0</v>
      </c>
      <c r="H431" s="34" t="s">
        <v>29</v>
      </c>
      <c r="I431" s="34" t="s">
        <v>40</v>
      </c>
      <c r="J431" s="24"/>
      <c r="M431" s="37" t="s">
        <v>1017</v>
      </c>
      <c r="N431" s="37" t="s">
        <v>1018</v>
      </c>
      <c r="O431" s="34" t="s">
        <v>40</v>
      </c>
      <c r="P431" s="34">
        <v>4.0</v>
      </c>
      <c r="Q431" s="36"/>
      <c r="R431" s="36"/>
      <c r="S431" s="36"/>
    </row>
    <row r="432" ht="15.75" customHeight="1">
      <c r="A432" s="33">
        <v>45540.10949688657</v>
      </c>
      <c r="B432" s="34" t="s">
        <v>465</v>
      </c>
      <c r="C432" s="34" t="s">
        <v>841</v>
      </c>
      <c r="D432" s="34" t="s">
        <v>716</v>
      </c>
      <c r="E432" s="34" t="s">
        <v>396</v>
      </c>
      <c r="F432" s="34">
        <v>1.0</v>
      </c>
      <c r="G432" s="34">
        <v>18.0</v>
      </c>
      <c r="H432" s="34" t="s">
        <v>29</v>
      </c>
      <c r="I432" s="34" t="s">
        <v>40</v>
      </c>
      <c r="J432" s="37" t="s">
        <v>1019</v>
      </c>
      <c r="K432" s="34" t="s">
        <v>1020</v>
      </c>
      <c r="L432" s="34" t="s">
        <v>136</v>
      </c>
      <c r="M432" s="35" t="s">
        <v>137</v>
      </c>
      <c r="N432" s="24"/>
      <c r="O432" s="34" t="s">
        <v>40</v>
      </c>
      <c r="P432" s="34">
        <v>16.0</v>
      </c>
      <c r="Q432" s="36"/>
      <c r="R432" s="36"/>
      <c r="S432" s="36"/>
    </row>
    <row r="433" ht="15.75" customHeight="1">
      <c r="A433" s="33">
        <v>45540.57566954861</v>
      </c>
      <c r="B433" s="34" t="s">
        <v>36</v>
      </c>
      <c r="C433" s="34" t="s">
        <v>841</v>
      </c>
      <c r="D433" s="34" t="s">
        <v>119</v>
      </c>
      <c r="E433" s="34" t="s">
        <v>120</v>
      </c>
      <c r="F433" s="34">
        <v>1.0</v>
      </c>
      <c r="G433" s="34">
        <v>12.0</v>
      </c>
      <c r="H433" s="34" t="s">
        <v>29</v>
      </c>
      <c r="I433" s="34" t="s">
        <v>40</v>
      </c>
      <c r="J433" s="24"/>
      <c r="L433" s="34" t="s">
        <v>420</v>
      </c>
      <c r="M433" s="35" t="s">
        <v>421</v>
      </c>
      <c r="N433" s="37" t="s">
        <v>1021</v>
      </c>
      <c r="O433" s="34" t="s">
        <v>40</v>
      </c>
      <c r="P433" s="34">
        <v>8.0</v>
      </c>
      <c r="Q433" s="36"/>
      <c r="R433" s="36"/>
      <c r="S433" s="36"/>
    </row>
    <row r="434" ht="15.75" customHeight="1">
      <c r="A434" s="33">
        <v>45540.692321319446</v>
      </c>
      <c r="B434" s="34" t="s">
        <v>288</v>
      </c>
      <c r="D434" s="34" t="s">
        <v>38</v>
      </c>
      <c r="E434" s="34" t="s">
        <v>1022</v>
      </c>
      <c r="F434" s="34">
        <v>1.0</v>
      </c>
      <c r="G434" s="34">
        <v>18.0</v>
      </c>
      <c r="H434" s="34" t="s">
        <v>29</v>
      </c>
      <c r="I434" s="34" t="s">
        <v>40</v>
      </c>
      <c r="J434" s="24"/>
      <c r="M434" s="24"/>
      <c r="N434" s="24"/>
      <c r="O434" s="34" t="s">
        <v>40</v>
      </c>
      <c r="P434" s="34">
        <v>16.0</v>
      </c>
      <c r="Q434" s="36"/>
      <c r="R434" s="36"/>
      <c r="S434" s="36"/>
    </row>
    <row r="435" ht="15.75" customHeight="1">
      <c r="A435" s="33">
        <v>45542.72801269676</v>
      </c>
      <c r="B435" s="34" t="s">
        <v>465</v>
      </c>
      <c r="C435" s="34" t="s">
        <v>841</v>
      </c>
      <c r="D435" s="34" t="s">
        <v>119</v>
      </c>
      <c r="E435" s="34" t="s">
        <v>1023</v>
      </c>
      <c r="F435" s="34">
        <v>1.0</v>
      </c>
      <c r="G435" s="34">
        <v>10.0</v>
      </c>
      <c r="H435" s="34" t="s">
        <v>29</v>
      </c>
      <c r="I435" s="34" t="s">
        <v>40</v>
      </c>
      <c r="J435" s="24"/>
      <c r="L435" s="34" t="s">
        <v>151</v>
      </c>
      <c r="M435" s="37" t="s">
        <v>1024</v>
      </c>
      <c r="N435" s="24"/>
      <c r="O435" s="34" t="s">
        <v>40</v>
      </c>
      <c r="P435" s="34">
        <v>8.0</v>
      </c>
      <c r="Q435" s="36"/>
      <c r="R435" s="36"/>
      <c r="S435" s="36"/>
    </row>
    <row r="436" ht="15.75" customHeight="1">
      <c r="A436" s="33">
        <v>45542.72879302083</v>
      </c>
      <c r="B436" s="34" t="s">
        <v>465</v>
      </c>
      <c r="C436" s="34" t="s">
        <v>841</v>
      </c>
      <c r="D436" s="34" t="s">
        <v>119</v>
      </c>
      <c r="E436" s="34" t="s">
        <v>473</v>
      </c>
      <c r="F436" s="34">
        <v>1.0</v>
      </c>
      <c r="G436" s="34">
        <v>18.0</v>
      </c>
      <c r="H436" s="34" t="s">
        <v>29</v>
      </c>
      <c r="I436" s="34" t="s">
        <v>40</v>
      </c>
      <c r="J436" s="24"/>
      <c r="L436" s="34" t="s">
        <v>151</v>
      </c>
      <c r="M436" s="37" t="s">
        <v>1025</v>
      </c>
      <c r="N436" s="24"/>
      <c r="O436" s="34" t="s">
        <v>40</v>
      </c>
      <c r="P436" s="34">
        <v>16.0</v>
      </c>
      <c r="Q436" s="36"/>
      <c r="R436" s="36"/>
      <c r="S436" s="36"/>
    </row>
    <row r="437" ht="15.75" customHeight="1">
      <c r="A437" s="33">
        <v>45543.454681180556</v>
      </c>
      <c r="B437" s="34" t="s">
        <v>61</v>
      </c>
      <c r="C437" s="34" t="s">
        <v>841</v>
      </c>
      <c r="D437" s="34" t="s">
        <v>1026</v>
      </c>
      <c r="E437" s="34" t="s">
        <v>1027</v>
      </c>
      <c r="F437" s="34">
        <v>2.0</v>
      </c>
      <c r="G437" s="34">
        <v>16.0</v>
      </c>
      <c r="H437" s="34" t="s">
        <v>29</v>
      </c>
      <c r="I437" s="34" t="s">
        <v>40</v>
      </c>
      <c r="J437" s="37" t="s">
        <v>1028</v>
      </c>
      <c r="L437" s="34" t="s">
        <v>436</v>
      </c>
      <c r="M437" s="35" t="s">
        <v>1029</v>
      </c>
      <c r="N437" s="37" t="s">
        <v>1030</v>
      </c>
      <c r="O437" s="34" t="s">
        <v>40</v>
      </c>
      <c r="P437" s="34">
        <v>8.0</v>
      </c>
      <c r="Q437" s="36"/>
      <c r="R437" s="36"/>
      <c r="S437" s="36"/>
    </row>
    <row r="438" ht="15.75" customHeight="1">
      <c r="A438" s="33">
        <v>45545.284757326386</v>
      </c>
      <c r="B438" s="34" t="s">
        <v>465</v>
      </c>
      <c r="C438" s="34" t="s">
        <v>419</v>
      </c>
      <c r="D438" s="34" t="s">
        <v>27</v>
      </c>
      <c r="E438" s="34" t="s">
        <v>942</v>
      </c>
      <c r="F438" s="34">
        <v>1.0</v>
      </c>
      <c r="G438" s="34">
        <v>2.0</v>
      </c>
      <c r="H438" s="34" t="s">
        <v>40</v>
      </c>
      <c r="I438" s="34" t="s">
        <v>40</v>
      </c>
      <c r="J438" s="24"/>
      <c r="M438" s="24"/>
      <c r="N438" s="24"/>
      <c r="O438" s="34" t="s">
        <v>40</v>
      </c>
      <c r="P438" s="34">
        <v>16.0</v>
      </c>
      <c r="Q438" s="36"/>
      <c r="R438" s="36"/>
      <c r="S438" s="36"/>
    </row>
    <row r="439" ht="15.75" customHeight="1">
      <c r="A439" s="33">
        <v>45549.44855731481</v>
      </c>
      <c r="B439" s="34" t="s">
        <v>169</v>
      </c>
      <c r="C439" s="34" t="s">
        <v>841</v>
      </c>
      <c r="D439" s="34" t="s">
        <v>107</v>
      </c>
      <c r="E439" s="34" t="s">
        <v>617</v>
      </c>
      <c r="F439" s="34">
        <v>1.0</v>
      </c>
      <c r="G439" s="34">
        <v>16.0</v>
      </c>
      <c r="H439" s="34" t="s">
        <v>29</v>
      </c>
      <c r="I439" s="34" t="s">
        <v>40</v>
      </c>
      <c r="J439" s="37" t="s">
        <v>1031</v>
      </c>
      <c r="K439" s="34" t="s">
        <v>1032</v>
      </c>
      <c r="L439" s="34" t="s">
        <v>151</v>
      </c>
      <c r="M439" s="37" t="s">
        <v>1033</v>
      </c>
      <c r="N439" s="37" t="s">
        <v>814</v>
      </c>
      <c r="O439" s="34" t="s">
        <v>40</v>
      </c>
      <c r="P439" s="34">
        <v>8.0</v>
      </c>
      <c r="Q439" s="36"/>
      <c r="R439" s="36"/>
      <c r="S439" s="36"/>
    </row>
    <row r="440" ht="15.75" customHeight="1">
      <c r="A440" s="33">
        <v>45550.69046383102</v>
      </c>
      <c r="B440" s="34" t="s">
        <v>294</v>
      </c>
      <c r="C440" s="34" t="s">
        <v>1034</v>
      </c>
      <c r="D440" s="34" t="s">
        <v>38</v>
      </c>
      <c r="E440" s="34" t="s">
        <v>389</v>
      </c>
      <c r="F440" s="34">
        <v>1.0</v>
      </c>
      <c r="G440" s="34">
        <v>20.0</v>
      </c>
      <c r="H440" s="34" t="s">
        <v>29</v>
      </c>
      <c r="I440" s="34" t="s">
        <v>40</v>
      </c>
      <c r="J440" s="37" t="s">
        <v>1035</v>
      </c>
      <c r="K440" s="34" t="s">
        <v>1036</v>
      </c>
      <c r="L440" s="34" t="s">
        <v>111</v>
      </c>
      <c r="M440" s="35" t="s">
        <v>50</v>
      </c>
      <c r="N440" s="24"/>
      <c r="O440" s="34" t="s">
        <v>40</v>
      </c>
      <c r="P440" s="34">
        <v>16.0</v>
      </c>
      <c r="Q440" s="36"/>
      <c r="R440" s="36"/>
      <c r="S440" s="36"/>
    </row>
    <row r="441" ht="15.75" customHeight="1">
      <c r="A441" s="33">
        <v>45552.58394804398</v>
      </c>
      <c r="B441" s="34" t="s">
        <v>465</v>
      </c>
      <c r="C441" s="34" t="s">
        <v>1034</v>
      </c>
      <c r="D441" s="34" t="s">
        <v>38</v>
      </c>
      <c r="E441" s="34" t="s">
        <v>57</v>
      </c>
      <c r="F441" s="34">
        <v>1.0</v>
      </c>
      <c r="G441" s="34">
        <v>6.0</v>
      </c>
      <c r="H441" s="34" t="s">
        <v>40</v>
      </c>
      <c r="J441" s="37" t="s">
        <v>1037</v>
      </c>
      <c r="L441" s="34" t="s">
        <v>93</v>
      </c>
      <c r="M441" s="35" t="s">
        <v>225</v>
      </c>
      <c r="N441" s="24"/>
      <c r="O441" s="34" t="s">
        <v>40</v>
      </c>
      <c r="P441" s="34">
        <v>4.0</v>
      </c>
      <c r="Q441" s="36"/>
      <c r="R441" s="36"/>
      <c r="S441" s="36"/>
    </row>
    <row r="442" ht="15.75" customHeight="1">
      <c r="A442" s="33">
        <v>45552.83187300926</v>
      </c>
      <c r="B442" s="34" t="s">
        <v>465</v>
      </c>
      <c r="C442" s="34" t="s">
        <v>841</v>
      </c>
      <c r="D442" s="34" t="s">
        <v>27</v>
      </c>
      <c r="E442" s="34" t="s">
        <v>529</v>
      </c>
      <c r="F442" s="34">
        <v>1.0</v>
      </c>
      <c r="G442" s="34">
        <v>18.0</v>
      </c>
      <c r="H442" s="34" t="s">
        <v>40</v>
      </c>
      <c r="I442" s="34" t="s">
        <v>40</v>
      </c>
      <c r="J442" s="24"/>
      <c r="L442" s="34" t="s">
        <v>140</v>
      </c>
      <c r="M442" s="35" t="s">
        <v>335</v>
      </c>
      <c r="N442" s="24"/>
      <c r="O442" s="34" t="s">
        <v>40</v>
      </c>
      <c r="P442" s="34">
        <v>16.0</v>
      </c>
      <c r="Q442" s="36"/>
      <c r="R442" s="36"/>
      <c r="S442" s="36"/>
    </row>
    <row r="443" ht="15.75" customHeight="1">
      <c r="A443" s="33">
        <v>45553.799565821755</v>
      </c>
      <c r="B443" s="34" t="s">
        <v>1038</v>
      </c>
      <c r="C443" s="34" t="s">
        <v>841</v>
      </c>
      <c r="D443" s="34" t="s">
        <v>27</v>
      </c>
      <c r="E443" s="34" t="s">
        <v>28</v>
      </c>
      <c r="F443" s="34">
        <v>2.0</v>
      </c>
      <c r="G443" s="34">
        <v>32.0</v>
      </c>
      <c r="H443" s="34" t="s">
        <v>29</v>
      </c>
      <c r="I443" s="34" t="s">
        <v>40</v>
      </c>
      <c r="J443" s="24"/>
      <c r="K443" s="34" t="s">
        <v>1039</v>
      </c>
      <c r="L443" s="34" t="s">
        <v>31</v>
      </c>
      <c r="M443" s="37" t="s">
        <v>1040</v>
      </c>
      <c r="N443" s="37" t="s">
        <v>1041</v>
      </c>
      <c r="O443" s="34" t="s">
        <v>29</v>
      </c>
      <c r="P443" s="34">
        <v>16.0</v>
      </c>
      <c r="Q443" s="36"/>
      <c r="R443" s="36"/>
      <c r="S443" s="36"/>
    </row>
    <row r="444" ht="15.75" customHeight="1">
      <c r="A444" s="33">
        <v>45556.467969571764</v>
      </c>
      <c r="B444" s="34" t="s">
        <v>465</v>
      </c>
      <c r="C444" s="34" t="s">
        <v>1034</v>
      </c>
      <c r="D444" s="34" t="s">
        <v>27</v>
      </c>
      <c r="E444" s="34" t="s">
        <v>212</v>
      </c>
      <c r="F444" s="34">
        <v>1.0</v>
      </c>
      <c r="G444" s="34">
        <v>18.0</v>
      </c>
      <c r="H444" s="34" t="s">
        <v>29</v>
      </c>
      <c r="I444" s="34" t="s">
        <v>40</v>
      </c>
      <c r="J444" s="37" t="s">
        <v>1042</v>
      </c>
      <c r="L444" s="34" t="s">
        <v>286</v>
      </c>
      <c r="M444" s="37" t="s">
        <v>1043</v>
      </c>
      <c r="N444" s="24"/>
      <c r="O444" s="34" t="s">
        <v>40</v>
      </c>
      <c r="P444" s="34">
        <v>16.0</v>
      </c>
      <c r="Q444" s="36"/>
      <c r="R444" s="36"/>
      <c r="S444" s="36"/>
    </row>
    <row r="445" ht="15.75" customHeight="1">
      <c r="A445" s="33">
        <v>45558.301137766204</v>
      </c>
      <c r="B445" s="34" t="s">
        <v>465</v>
      </c>
      <c r="D445" s="34" t="s">
        <v>27</v>
      </c>
      <c r="E445" s="34" t="s">
        <v>620</v>
      </c>
      <c r="F445" s="34">
        <v>1.0</v>
      </c>
      <c r="G445" s="34">
        <v>6.0</v>
      </c>
      <c r="H445" s="34" t="s">
        <v>40</v>
      </c>
      <c r="J445" s="24"/>
      <c r="M445" s="24"/>
      <c r="N445" s="24"/>
      <c r="O445" s="34" t="s">
        <v>40</v>
      </c>
      <c r="P445" s="34">
        <v>4.0</v>
      </c>
      <c r="Q445" s="36"/>
      <c r="R445" s="36"/>
      <c r="S445" s="36"/>
    </row>
    <row r="446" ht="15.75" customHeight="1">
      <c r="A446" s="33">
        <v>45558.88318071759</v>
      </c>
      <c r="B446" s="34" t="s">
        <v>465</v>
      </c>
      <c r="C446" s="34" t="s">
        <v>1034</v>
      </c>
      <c r="D446" s="34" t="s">
        <v>27</v>
      </c>
      <c r="E446" s="34" t="s">
        <v>329</v>
      </c>
      <c r="F446" s="34">
        <v>1.0</v>
      </c>
      <c r="G446" s="34">
        <v>10.0</v>
      </c>
      <c r="H446" s="34" t="s">
        <v>29</v>
      </c>
      <c r="I446" s="34" t="s">
        <v>40</v>
      </c>
      <c r="J446" s="24"/>
      <c r="L446" s="34" t="s">
        <v>219</v>
      </c>
      <c r="M446" s="35" t="s">
        <v>1044</v>
      </c>
      <c r="N446" s="24"/>
      <c r="O446" s="34" t="s">
        <v>126</v>
      </c>
      <c r="P446" s="34">
        <v>8.0</v>
      </c>
      <c r="Q446" s="36"/>
      <c r="R446" s="36"/>
      <c r="S446" s="36"/>
    </row>
    <row r="447" ht="15.75" customHeight="1">
      <c r="A447" s="33">
        <v>45560.174909953705</v>
      </c>
      <c r="B447" s="34" t="s">
        <v>2</v>
      </c>
      <c r="C447" s="34" t="s">
        <v>1034</v>
      </c>
      <c r="D447" s="34" t="s">
        <v>38</v>
      </c>
      <c r="E447" s="34" t="s">
        <v>153</v>
      </c>
      <c r="F447" s="34">
        <v>1.0</v>
      </c>
      <c r="G447" s="34">
        <v>12.0</v>
      </c>
      <c r="H447" s="34" t="s">
        <v>29</v>
      </c>
      <c r="I447" s="34" t="s">
        <v>40</v>
      </c>
      <c r="J447" s="24"/>
      <c r="K447" s="34" t="s">
        <v>1045</v>
      </c>
      <c r="M447" s="37" t="s">
        <v>210</v>
      </c>
      <c r="N447" s="24"/>
      <c r="O447" s="34" t="s">
        <v>126</v>
      </c>
      <c r="P447" s="34">
        <v>8.0</v>
      </c>
      <c r="Q447" s="36"/>
      <c r="R447" s="36"/>
      <c r="S447" s="36"/>
    </row>
    <row r="448" ht="15.75" customHeight="1">
      <c r="A448" s="33">
        <v>45561.33560619213</v>
      </c>
      <c r="B448" s="34" t="s">
        <v>288</v>
      </c>
      <c r="C448" s="34" t="s">
        <v>1034</v>
      </c>
      <c r="D448" s="34" t="s">
        <v>1046</v>
      </c>
      <c r="E448" s="34" t="s">
        <v>447</v>
      </c>
      <c r="F448" s="34">
        <v>1.0</v>
      </c>
      <c r="G448" s="34">
        <v>18.0</v>
      </c>
      <c r="H448" s="34" t="s">
        <v>29</v>
      </c>
      <c r="I448" s="34" t="s">
        <v>40</v>
      </c>
      <c r="J448" s="24"/>
      <c r="K448" s="34" t="s">
        <v>1047</v>
      </c>
      <c r="L448" s="34" t="s">
        <v>271</v>
      </c>
      <c r="M448" s="37" t="s">
        <v>1048</v>
      </c>
      <c r="N448" s="24"/>
      <c r="O448" s="34" t="s">
        <v>126</v>
      </c>
      <c r="P448" s="34">
        <v>16.0</v>
      </c>
      <c r="Q448" s="36"/>
      <c r="R448" s="36"/>
      <c r="S448" s="36"/>
    </row>
    <row r="449" ht="15.75" customHeight="1">
      <c r="A449" s="33">
        <v>45561.4876318287</v>
      </c>
      <c r="B449" s="34" t="s">
        <v>298</v>
      </c>
      <c r="C449" s="34" t="s">
        <v>1034</v>
      </c>
      <c r="D449" s="34" t="s">
        <v>119</v>
      </c>
      <c r="E449" s="34" t="s">
        <v>1049</v>
      </c>
      <c r="F449" s="34">
        <v>1.0</v>
      </c>
      <c r="G449" s="34">
        <v>10.0</v>
      </c>
      <c r="H449" s="34" t="s">
        <v>40</v>
      </c>
      <c r="J449" s="24"/>
      <c r="M449" s="24"/>
      <c r="N449" s="24"/>
      <c r="O449" s="34" t="s">
        <v>40</v>
      </c>
      <c r="P449" s="34">
        <v>8.0</v>
      </c>
      <c r="Q449" s="36"/>
      <c r="R449" s="36"/>
      <c r="S449" s="36"/>
    </row>
    <row r="450" ht="15.75" customHeight="1">
      <c r="A450" s="33">
        <v>45561.56983862269</v>
      </c>
      <c r="B450" s="34" t="s">
        <v>118</v>
      </c>
      <c r="C450" s="34" t="s">
        <v>1050</v>
      </c>
      <c r="D450" s="34" t="s">
        <v>38</v>
      </c>
      <c r="E450" s="34" t="s">
        <v>368</v>
      </c>
      <c r="F450" s="34">
        <v>1.0</v>
      </c>
      <c r="G450" s="34">
        <v>18.0</v>
      </c>
      <c r="H450" s="34" t="s">
        <v>40</v>
      </c>
      <c r="I450" s="34" t="s">
        <v>40</v>
      </c>
      <c r="J450" s="37" t="s">
        <v>1051</v>
      </c>
      <c r="L450" s="34" t="s">
        <v>136</v>
      </c>
      <c r="M450" s="37" t="s">
        <v>131</v>
      </c>
      <c r="N450" s="24"/>
      <c r="O450" s="34" t="s">
        <v>40</v>
      </c>
      <c r="P450" s="34">
        <v>16.0</v>
      </c>
      <c r="Q450" s="36"/>
      <c r="R450" s="36"/>
      <c r="S450" s="36"/>
    </row>
    <row r="451" ht="15.75" customHeight="1">
      <c r="A451" s="33">
        <v>45562.62291480324</v>
      </c>
      <c r="B451" s="34" t="s">
        <v>288</v>
      </c>
      <c r="C451" s="34" t="s">
        <v>1034</v>
      </c>
      <c r="D451" s="34" t="s">
        <v>27</v>
      </c>
      <c r="E451" s="34" t="s">
        <v>212</v>
      </c>
      <c r="F451" s="34">
        <v>1.0</v>
      </c>
      <c r="G451" s="34">
        <v>18.0</v>
      </c>
      <c r="H451" s="34" t="s">
        <v>29</v>
      </c>
      <c r="I451" s="34" t="s">
        <v>40</v>
      </c>
      <c r="J451" s="37" t="s">
        <v>1052</v>
      </c>
      <c r="K451" s="34" t="s">
        <v>1053</v>
      </c>
      <c r="L451" s="34" t="s">
        <v>835</v>
      </c>
      <c r="M451" s="37" t="s">
        <v>1054</v>
      </c>
      <c r="N451" s="24"/>
      <c r="O451" s="34" t="s">
        <v>40</v>
      </c>
      <c r="P451" s="34">
        <v>16.0</v>
      </c>
      <c r="Q451" s="36"/>
      <c r="R451" s="36"/>
      <c r="S451" s="36"/>
    </row>
    <row r="452" ht="15.75" customHeight="1">
      <c r="A452" s="33">
        <v>45562.78219513889</v>
      </c>
      <c r="B452" s="34" t="s">
        <v>138</v>
      </c>
      <c r="C452" s="34" t="s">
        <v>841</v>
      </c>
      <c r="D452" s="34" t="s">
        <v>38</v>
      </c>
      <c r="E452" s="34" t="s">
        <v>775</v>
      </c>
      <c r="F452" s="34">
        <v>2.0</v>
      </c>
      <c r="G452" s="34">
        <v>16.0</v>
      </c>
      <c r="H452" s="34" t="s">
        <v>29</v>
      </c>
      <c r="I452" s="34" t="s">
        <v>40</v>
      </c>
      <c r="J452" s="24"/>
      <c r="K452" s="34" t="s">
        <v>1055</v>
      </c>
      <c r="M452" s="35" t="s">
        <v>50</v>
      </c>
      <c r="N452" s="37" t="s">
        <v>1056</v>
      </c>
      <c r="O452" s="34" t="s">
        <v>40</v>
      </c>
      <c r="P452" s="34">
        <v>8.0</v>
      </c>
      <c r="Q452" s="36"/>
      <c r="R452" s="36"/>
      <c r="S452" s="36"/>
    </row>
    <row r="453" ht="15.75" customHeight="1">
      <c r="A453" s="33">
        <v>45562.84648461806</v>
      </c>
      <c r="B453" s="34" t="s">
        <v>465</v>
      </c>
      <c r="C453" s="34" t="s">
        <v>841</v>
      </c>
      <c r="D453" s="34" t="s">
        <v>579</v>
      </c>
      <c r="E453" s="34" t="s">
        <v>149</v>
      </c>
      <c r="F453" s="34">
        <v>1.0</v>
      </c>
      <c r="G453" s="34">
        <v>18.0</v>
      </c>
      <c r="H453" s="34" t="s">
        <v>40</v>
      </c>
      <c r="J453" s="37" t="s">
        <v>1057</v>
      </c>
      <c r="M453" s="35" t="s">
        <v>50</v>
      </c>
      <c r="N453" s="37" t="s">
        <v>1010</v>
      </c>
      <c r="O453" s="34" t="s">
        <v>40</v>
      </c>
      <c r="P453" s="34">
        <v>16.0</v>
      </c>
      <c r="Q453" s="36"/>
      <c r="R453" s="36"/>
      <c r="S453" s="36"/>
    </row>
    <row r="454" ht="15.75" customHeight="1">
      <c r="A454" s="33">
        <v>45564.07386625</v>
      </c>
      <c r="B454" s="34" t="s">
        <v>465</v>
      </c>
      <c r="C454" s="34" t="s">
        <v>1034</v>
      </c>
      <c r="D454" s="34" t="s">
        <v>38</v>
      </c>
      <c r="E454" s="34" t="s">
        <v>400</v>
      </c>
      <c r="F454" s="34">
        <v>1.0</v>
      </c>
      <c r="G454" s="34">
        <v>18.0</v>
      </c>
      <c r="H454" s="34" t="s">
        <v>29</v>
      </c>
      <c r="I454" s="34" t="s">
        <v>40</v>
      </c>
      <c r="J454" s="37" t="s">
        <v>1058</v>
      </c>
      <c r="K454" s="34" t="s">
        <v>1059</v>
      </c>
      <c r="L454" s="34" t="s">
        <v>111</v>
      </c>
      <c r="M454" s="37" t="s">
        <v>215</v>
      </c>
      <c r="N454" s="37" t="s">
        <v>1060</v>
      </c>
      <c r="O454" s="34" t="s">
        <v>40</v>
      </c>
      <c r="P454" s="34">
        <v>16.0</v>
      </c>
      <c r="Q454" s="36"/>
      <c r="R454" s="36"/>
      <c r="S454" s="36"/>
    </row>
    <row r="455" ht="15.75" customHeight="1">
      <c r="A455" s="33">
        <v>45565.128097141205</v>
      </c>
      <c r="B455" s="34" t="s">
        <v>465</v>
      </c>
      <c r="C455" s="34" t="s">
        <v>1034</v>
      </c>
      <c r="D455" s="34" t="s">
        <v>38</v>
      </c>
      <c r="E455" s="34" t="s">
        <v>1061</v>
      </c>
      <c r="F455" s="34">
        <v>1.0</v>
      </c>
      <c r="G455" s="34">
        <v>18.0</v>
      </c>
      <c r="H455" s="34" t="s">
        <v>29</v>
      </c>
      <c r="I455" s="34" t="s">
        <v>40</v>
      </c>
      <c r="J455" s="24"/>
      <c r="K455" s="34" t="s">
        <v>1062</v>
      </c>
      <c r="L455" s="34" t="s">
        <v>111</v>
      </c>
      <c r="M455" s="37" t="s">
        <v>1063</v>
      </c>
      <c r="N455" s="37" t="s">
        <v>1064</v>
      </c>
      <c r="O455" s="34" t="s">
        <v>40</v>
      </c>
      <c r="P455" s="34">
        <v>16.0</v>
      </c>
      <c r="Q455" s="36"/>
      <c r="R455" s="36"/>
      <c r="S455" s="36"/>
    </row>
    <row r="456" ht="15.75" customHeight="1">
      <c r="A456" s="33">
        <v>45565.79923788195</v>
      </c>
      <c r="B456" s="34" t="s">
        <v>465</v>
      </c>
      <c r="C456" s="34" t="s">
        <v>1034</v>
      </c>
      <c r="D456" s="34" t="s">
        <v>38</v>
      </c>
      <c r="E456" s="34" t="s">
        <v>1065</v>
      </c>
      <c r="F456" s="34">
        <v>1.0</v>
      </c>
      <c r="G456" s="34">
        <v>18.0</v>
      </c>
      <c r="H456" s="34" t="s">
        <v>29</v>
      </c>
      <c r="I456" s="34" t="s">
        <v>40</v>
      </c>
      <c r="L456" s="34" t="s">
        <v>1066</v>
      </c>
      <c r="M456" s="35" t="s">
        <v>681</v>
      </c>
      <c r="N456" s="37" t="s">
        <v>1067</v>
      </c>
      <c r="O456" s="34" t="s">
        <v>126</v>
      </c>
      <c r="P456" s="34">
        <v>16.0</v>
      </c>
      <c r="Q456" s="36"/>
      <c r="R456" s="36"/>
      <c r="S456" s="36"/>
    </row>
    <row r="457" ht="15.75" customHeight="1">
      <c r="A457" s="33">
        <v>45568.18594673611</v>
      </c>
      <c r="B457" s="34" t="s">
        <v>288</v>
      </c>
      <c r="C457" s="34" t="s">
        <v>1034</v>
      </c>
      <c r="D457" s="34" t="s">
        <v>27</v>
      </c>
      <c r="E457" s="34" t="s">
        <v>212</v>
      </c>
      <c r="F457" s="34">
        <v>1.0</v>
      </c>
      <c r="G457" s="34">
        <v>18.0</v>
      </c>
      <c r="H457" s="34" t="s">
        <v>29</v>
      </c>
      <c r="I457" s="34" t="s">
        <v>40</v>
      </c>
      <c r="J457" s="34" t="s">
        <v>1068</v>
      </c>
      <c r="L457" s="34" t="s">
        <v>136</v>
      </c>
      <c r="M457" s="35" t="s">
        <v>217</v>
      </c>
      <c r="N457" s="24"/>
      <c r="O457" s="34" t="s">
        <v>40</v>
      </c>
      <c r="P457" s="34">
        <v>16.0</v>
      </c>
      <c r="Q457" s="36"/>
      <c r="R457" s="36"/>
      <c r="S457" s="36"/>
    </row>
    <row r="458" ht="15.75" customHeight="1">
      <c r="A458" s="33">
        <v>45568.3689025</v>
      </c>
      <c r="B458" s="34" t="s">
        <v>288</v>
      </c>
      <c r="D458" s="34" t="s">
        <v>1069</v>
      </c>
      <c r="E458" s="34" t="s">
        <v>1070</v>
      </c>
      <c r="F458" s="34">
        <v>1.0</v>
      </c>
      <c r="G458" s="34">
        <v>18.0</v>
      </c>
      <c r="H458" s="34" t="s">
        <v>40</v>
      </c>
      <c r="I458" s="34" t="s">
        <v>40</v>
      </c>
      <c r="L458" s="34" t="s">
        <v>835</v>
      </c>
      <c r="M458" s="24"/>
      <c r="N458" s="24"/>
      <c r="O458" s="34" t="s">
        <v>126</v>
      </c>
      <c r="P458" s="34">
        <v>16.0</v>
      </c>
      <c r="Q458" s="36"/>
      <c r="R458" s="36"/>
      <c r="S458" s="36"/>
    </row>
    <row r="459" ht="15.75" customHeight="1">
      <c r="A459" s="33">
        <v>45568.88952739583</v>
      </c>
      <c r="B459" s="34" t="s">
        <v>288</v>
      </c>
      <c r="C459" s="34" t="s">
        <v>1034</v>
      </c>
      <c r="D459" s="34" t="s">
        <v>27</v>
      </c>
      <c r="E459" s="34" t="s">
        <v>212</v>
      </c>
      <c r="F459" s="34">
        <v>1.0</v>
      </c>
      <c r="G459" s="34">
        <v>18.0</v>
      </c>
      <c r="H459" s="34" t="s">
        <v>40</v>
      </c>
      <c r="I459" s="34" t="s">
        <v>40</v>
      </c>
      <c r="L459" s="34" t="s">
        <v>140</v>
      </c>
      <c r="M459" s="35" t="s">
        <v>681</v>
      </c>
      <c r="N459" s="24"/>
      <c r="O459" s="34" t="s">
        <v>40</v>
      </c>
      <c r="P459" s="34">
        <v>16.0</v>
      </c>
      <c r="Q459" s="36"/>
      <c r="R459" s="36"/>
      <c r="S459" s="36"/>
    </row>
    <row r="460" ht="15.75" customHeight="1">
      <c r="A460" s="33">
        <v>45570.30901024306</v>
      </c>
      <c r="B460" s="34" t="s">
        <v>465</v>
      </c>
      <c r="C460" s="34" t="s">
        <v>841</v>
      </c>
      <c r="D460" s="34" t="s">
        <v>38</v>
      </c>
      <c r="E460" s="34" t="s">
        <v>57</v>
      </c>
      <c r="F460" s="34">
        <v>1.0</v>
      </c>
      <c r="G460" s="34">
        <v>6.0</v>
      </c>
      <c r="H460" s="34" t="s">
        <v>29</v>
      </c>
      <c r="I460" s="34" t="s">
        <v>40</v>
      </c>
      <c r="J460" s="34" t="s">
        <v>1071</v>
      </c>
      <c r="K460" s="34" t="s">
        <v>1072</v>
      </c>
      <c r="L460" s="34" t="s">
        <v>219</v>
      </c>
      <c r="M460" s="35" t="s">
        <v>1073</v>
      </c>
      <c r="N460" s="37" t="s">
        <v>1074</v>
      </c>
      <c r="O460" s="34" t="s">
        <v>40</v>
      </c>
      <c r="P460" s="34">
        <v>4.0</v>
      </c>
      <c r="Q460" s="36"/>
      <c r="R460" s="36"/>
      <c r="S460" s="36"/>
    </row>
    <row r="461" ht="15.75" customHeight="1">
      <c r="A461" s="33">
        <v>45571.403774895836</v>
      </c>
      <c r="B461" s="34" t="s">
        <v>288</v>
      </c>
      <c r="C461" s="34" t="s">
        <v>1034</v>
      </c>
      <c r="D461" s="34" t="s">
        <v>976</v>
      </c>
      <c r="E461" s="34" t="s">
        <v>1075</v>
      </c>
      <c r="F461" s="34">
        <v>1.0</v>
      </c>
      <c r="G461" s="34">
        <v>18.0</v>
      </c>
      <c r="H461" s="34" t="s">
        <v>40</v>
      </c>
      <c r="I461" s="34" t="s">
        <v>40</v>
      </c>
      <c r="J461" s="34" t="s">
        <v>1076</v>
      </c>
      <c r="L461" s="34" t="s">
        <v>140</v>
      </c>
      <c r="M461" s="35" t="s">
        <v>681</v>
      </c>
      <c r="N461" s="24"/>
      <c r="O461" s="34" t="s">
        <v>40</v>
      </c>
      <c r="P461" s="34">
        <v>16.0</v>
      </c>
      <c r="Q461" s="36"/>
      <c r="R461" s="36"/>
      <c r="S461" s="36"/>
    </row>
    <row r="462" ht="15.75" customHeight="1">
      <c r="A462" s="33">
        <v>45571.40497461805</v>
      </c>
      <c r="B462" s="34" t="s">
        <v>288</v>
      </c>
      <c r="C462" s="34" t="s">
        <v>1034</v>
      </c>
      <c r="D462" s="34" t="s">
        <v>119</v>
      </c>
      <c r="E462" s="34" t="s">
        <v>902</v>
      </c>
      <c r="F462" s="34">
        <v>1.0</v>
      </c>
      <c r="G462" s="34">
        <v>18.0</v>
      </c>
      <c r="H462" s="34" t="s">
        <v>40</v>
      </c>
      <c r="I462" s="34" t="s">
        <v>40</v>
      </c>
      <c r="J462" s="34" t="s">
        <v>1076</v>
      </c>
      <c r="L462" s="34" t="s">
        <v>140</v>
      </c>
      <c r="M462" s="35" t="s">
        <v>681</v>
      </c>
      <c r="N462" s="24"/>
      <c r="O462" s="34" t="s">
        <v>40</v>
      </c>
      <c r="P462" s="34">
        <v>16.0</v>
      </c>
      <c r="Q462" s="36"/>
      <c r="R462" s="36"/>
      <c r="S462" s="36"/>
    </row>
    <row r="463" ht="15.75" customHeight="1">
      <c r="A463" s="33">
        <v>45574.452279317135</v>
      </c>
      <c r="B463" s="34" t="s">
        <v>288</v>
      </c>
      <c r="C463" s="34" t="s">
        <v>1034</v>
      </c>
      <c r="D463" s="34" t="s">
        <v>107</v>
      </c>
      <c r="E463" s="34" t="s">
        <v>955</v>
      </c>
      <c r="F463" s="34">
        <v>1.0</v>
      </c>
      <c r="G463" s="34">
        <v>10.0</v>
      </c>
      <c r="H463" s="34" t="s">
        <v>29</v>
      </c>
      <c r="I463" s="34" t="s">
        <v>40</v>
      </c>
      <c r="M463" s="37" t="s">
        <v>1077</v>
      </c>
      <c r="N463" s="24"/>
      <c r="O463" s="34" t="s">
        <v>40</v>
      </c>
      <c r="P463" s="34">
        <v>8.0</v>
      </c>
      <c r="Q463" s="36"/>
      <c r="R463" s="36"/>
      <c r="S463" s="36"/>
    </row>
    <row r="464" ht="15.75" customHeight="1">
      <c r="A464" s="33">
        <v>45575.29414167824</v>
      </c>
      <c r="B464" s="34" t="s">
        <v>138</v>
      </c>
      <c r="C464" s="34" t="s">
        <v>1034</v>
      </c>
      <c r="D464" s="34" t="s">
        <v>985</v>
      </c>
      <c r="E464" s="34" t="s">
        <v>501</v>
      </c>
      <c r="F464" s="34">
        <v>1.0</v>
      </c>
      <c r="G464" s="34">
        <v>18.0</v>
      </c>
      <c r="H464" s="34" t="s">
        <v>29</v>
      </c>
      <c r="I464" s="34" t="s">
        <v>40</v>
      </c>
      <c r="J464" s="34" t="s">
        <v>1078</v>
      </c>
      <c r="L464" s="34" t="s">
        <v>111</v>
      </c>
      <c r="M464" s="37" t="s">
        <v>210</v>
      </c>
      <c r="N464" s="24"/>
      <c r="O464" s="34" t="s">
        <v>29</v>
      </c>
      <c r="P464" s="34">
        <v>16.0</v>
      </c>
      <c r="Q464" s="36"/>
      <c r="R464" s="36"/>
      <c r="S464" s="36"/>
    </row>
    <row r="465" ht="15.75" customHeight="1">
      <c r="A465" s="33">
        <v>45575.88507979167</v>
      </c>
      <c r="B465" s="34" t="s">
        <v>61</v>
      </c>
      <c r="C465" s="34" t="s">
        <v>841</v>
      </c>
      <c r="D465" s="34" t="s">
        <v>38</v>
      </c>
      <c r="E465" s="34" t="s">
        <v>75</v>
      </c>
      <c r="F465" s="34">
        <v>2.0</v>
      </c>
      <c r="G465" s="34">
        <v>16.0</v>
      </c>
      <c r="H465" s="34" t="s">
        <v>29</v>
      </c>
      <c r="I465" s="34" t="s">
        <v>40</v>
      </c>
      <c r="M465" s="24"/>
      <c r="N465" s="24"/>
      <c r="O465" s="34" t="s">
        <v>40</v>
      </c>
      <c r="P465" s="34">
        <v>8.0</v>
      </c>
      <c r="Q465" s="36"/>
      <c r="R465" s="36"/>
      <c r="S465" s="36"/>
    </row>
    <row r="466" ht="15.75" customHeight="1">
      <c r="A466" s="33">
        <v>45576.02702530092</v>
      </c>
      <c r="B466" s="34" t="s">
        <v>36</v>
      </c>
      <c r="C466" s="34" t="s">
        <v>936</v>
      </c>
      <c r="D466" s="34" t="s">
        <v>47</v>
      </c>
      <c r="E466" s="34" t="s">
        <v>625</v>
      </c>
      <c r="F466" s="34">
        <v>1.0</v>
      </c>
      <c r="G466" s="34">
        <v>20.0</v>
      </c>
      <c r="H466" s="34" t="s">
        <v>40</v>
      </c>
      <c r="I466" s="34" t="s">
        <v>40</v>
      </c>
      <c r="L466" s="34" t="s">
        <v>136</v>
      </c>
      <c r="M466" s="35" t="s">
        <v>137</v>
      </c>
      <c r="N466" s="24"/>
      <c r="O466" s="34" t="s">
        <v>126</v>
      </c>
      <c r="P466" s="34">
        <v>16.0</v>
      </c>
      <c r="Q466" s="36"/>
      <c r="R466" s="36"/>
      <c r="S466" s="36"/>
    </row>
    <row r="467" ht="15.75" customHeight="1">
      <c r="A467" s="33">
        <v>45576.6900736574</v>
      </c>
      <c r="B467" s="34" t="s">
        <v>288</v>
      </c>
      <c r="C467" s="34" t="s">
        <v>1034</v>
      </c>
      <c r="D467" s="34" t="s">
        <v>71</v>
      </c>
      <c r="E467" s="34" t="s">
        <v>1079</v>
      </c>
      <c r="F467" s="34">
        <v>1.0</v>
      </c>
      <c r="G467" s="34">
        <v>18.0</v>
      </c>
      <c r="H467" s="34" t="s">
        <v>29</v>
      </c>
      <c r="I467" s="34" t="s">
        <v>40</v>
      </c>
      <c r="L467" s="34" t="s">
        <v>140</v>
      </c>
      <c r="M467" s="35" t="s">
        <v>681</v>
      </c>
      <c r="N467" s="37" t="s">
        <v>1080</v>
      </c>
      <c r="O467" s="34" t="s">
        <v>40</v>
      </c>
      <c r="P467" s="34">
        <v>16.0</v>
      </c>
      <c r="Q467" s="36"/>
      <c r="R467" s="36"/>
      <c r="S467" s="36"/>
    </row>
    <row r="468" ht="15.75" customHeight="1">
      <c r="A468" s="33">
        <v>45576.72007673611</v>
      </c>
      <c r="B468" s="34" t="s">
        <v>288</v>
      </c>
      <c r="C468" s="34" t="s">
        <v>1034</v>
      </c>
      <c r="D468" s="34" t="s">
        <v>38</v>
      </c>
      <c r="E468" s="34" t="s">
        <v>1081</v>
      </c>
      <c r="F468" s="34">
        <v>1.0</v>
      </c>
      <c r="G468" s="34">
        <v>18.0</v>
      </c>
      <c r="H468" s="34" t="s">
        <v>29</v>
      </c>
      <c r="I468" s="34" t="s">
        <v>40</v>
      </c>
      <c r="L468" s="34" t="s">
        <v>111</v>
      </c>
      <c r="M468" s="35" t="s">
        <v>50</v>
      </c>
      <c r="N468" s="24"/>
      <c r="O468" s="34" t="s">
        <v>40</v>
      </c>
      <c r="P468" s="34">
        <v>16.0</v>
      </c>
      <c r="Q468" s="36"/>
      <c r="R468" s="36"/>
      <c r="S468" s="36"/>
    </row>
    <row r="469" ht="15.75" customHeight="1">
      <c r="A469" s="33">
        <v>45579.657732708336</v>
      </c>
      <c r="B469" s="34" t="s">
        <v>2</v>
      </c>
      <c r="C469" s="34" t="s">
        <v>704</v>
      </c>
      <c r="D469" s="34" t="s">
        <v>1082</v>
      </c>
      <c r="E469" s="34" t="s">
        <v>102</v>
      </c>
      <c r="F469" s="34">
        <v>2.0</v>
      </c>
      <c r="G469" s="34">
        <v>32.0</v>
      </c>
      <c r="H469" s="34" t="s">
        <v>29</v>
      </c>
      <c r="I469" s="34" t="s">
        <v>40</v>
      </c>
      <c r="L469" s="34" t="s">
        <v>31</v>
      </c>
      <c r="M469" s="37" t="s">
        <v>101</v>
      </c>
      <c r="N469" s="24"/>
      <c r="O469" s="34" t="s">
        <v>29</v>
      </c>
      <c r="P469" s="34">
        <v>16.0</v>
      </c>
      <c r="Q469" s="36"/>
      <c r="R469" s="36"/>
      <c r="S469" s="36"/>
    </row>
    <row r="470" ht="15.75" customHeight="1">
      <c r="A470" s="33">
        <v>45582.08953159722</v>
      </c>
      <c r="B470" s="34" t="s">
        <v>2</v>
      </c>
      <c r="C470" s="34" t="s">
        <v>841</v>
      </c>
      <c r="D470" s="34" t="s">
        <v>565</v>
      </c>
      <c r="E470" s="34" t="s">
        <v>566</v>
      </c>
      <c r="F470" s="34">
        <v>2.0</v>
      </c>
      <c r="G470" s="34">
        <v>32.0</v>
      </c>
      <c r="H470" s="34" t="s">
        <v>29</v>
      </c>
      <c r="I470" s="34" t="s">
        <v>40</v>
      </c>
      <c r="J470" s="34" t="s">
        <v>1083</v>
      </c>
      <c r="L470" s="34" t="s">
        <v>111</v>
      </c>
      <c r="M470" s="35" t="s">
        <v>50</v>
      </c>
      <c r="N470" s="24"/>
      <c r="O470" s="34" t="s">
        <v>29</v>
      </c>
      <c r="P470" s="34">
        <v>16.0</v>
      </c>
      <c r="Q470" s="36"/>
      <c r="R470" s="36"/>
      <c r="S470" s="36"/>
    </row>
    <row r="471" ht="15.75" customHeight="1">
      <c r="A471" s="33">
        <v>45582.72804070602</v>
      </c>
      <c r="B471" s="34" t="s">
        <v>36</v>
      </c>
      <c r="C471" s="34" t="s">
        <v>841</v>
      </c>
      <c r="D471" s="34" t="s">
        <v>127</v>
      </c>
      <c r="E471" s="34" t="s">
        <v>1084</v>
      </c>
      <c r="F471" s="34">
        <v>1.0</v>
      </c>
      <c r="G471" s="34">
        <v>12.0</v>
      </c>
      <c r="H471" s="34" t="s">
        <v>29</v>
      </c>
      <c r="I471" s="34" t="s">
        <v>40</v>
      </c>
      <c r="M471" s="24"/>
      <c r="N471" s="24"/>
      <c r="O471" s="34" t="s">
        <v>40</v>
      </c>
      <c r="P471" s="34">
        <v>8.0</v>
      </c>
      <c r="Q471" s="36"/>
      <c r="R471" s="36"/>
      <c r="S471" s="36"/>
    </row>
    <row r="472" ht="15.75" customHeight="1">
      <c r="A472" s="33">
        <v>45584.8633175</v>
      </c>
      <c r="B472" s="34" t="s">
        <v>1085</v>
      </c>
      <c r="C472" s="34" t="s">
        <v>291</v>
      </c>
      <c r="D472" s="34" t="s">
        <v>38</v>
      </c>
      <c r="E472" s="34" t="s">
        <v>783</v>
      </c>
      <c r="F472" s="34">
        <v>2.0</v>
      </c>
      <c r="G472" s="34">
        <v>16.0</v>
      </c>
      <c r="H472" s="34" t="s">
        <v>29</v>
      </c>
      <c r="I472" s="34" t="s">
        <v>40</v>
      </c>
      <c r="L472" s="34" t="s">
        <v>31</v>
      </c>
      <c r="M472" s="37" t="s">
        <v>279</v>
      </c>
      <c r="N472" s="24"/>
      <c r="O472" s="34" t="s">
        <v>40</v>
      </c>
      <c r="P472" s="34">
        <v>8.0</v>
      </c>
      <c r="Q472" s="36"/>
      <c r="R472" s="36"/>
      <c r="S472" s="36"/>
    </row>
    <row r="473" ht="15.75" customHeight="1">
      <c r="A473" s="33">
        <v>45586.283197233795</v>
      </c>
      <c r="B473" s="34" t="s">
        <v>36</v>
      </c>
      <c r="C473" s="34" t="s">
        <v>841</v>
      </c>
      <c r="D473" s="34" t="s">
        <v>38</v>
      </c>
      <c r="E473" s="34" t="s">
        <v>57</v>
      </c>
      <c r="F473" s="34">
        <v>1.0</v>
      </c>
      <c r="G473" s="34">
        <v>8.0</v>
      </c>
      <c r="H473" s="34" t="s">
        <v>29</v>
      </c>
      <c r="I473" s="34" t="s">
        <v>40</v>
      </c>
      <c r="K473" s="34" t="s">
        <v>1086</v>
      </c>
      <c r="L473" s="34" t="s">
        <v>186</v>
      </c>
      <c r="M473" s="24"/>
      <c r="N473" s="37" t="s">
        <v>1087</v>
      </c>
      <c r="O473" s="34" t="s">
        <v>40</v>
      </c>
      <c r="P473" s="34">
        <v>4.0</v>
      </c>
      <c r="Q473" s="36"/>
      <c r="R473" s="36"/>
      <c r="S473" s="36"/>
    </row>
    <row r="474" ht="15.75" customHeight="1">
      <c r="A474" s="33">
        <v>45589.09111003472</v>
      </c>
      <c r="B474" s="34" t="s">
        <v>169</v>
      </c>
      <c r="C474" s="34" t="s">
        <v>704</v>
      </c>
      <c r="D474" s="34" t="s">
        <v>47</v>
      </c>
      <c r="E474" s="34" t="s">
        <v>165</v>
      </c>
      <c r="F474" s="34">
        <v>2.0</v>
      </c>
      <c r="G474" s="34">
        <v>32.0</v>
      </c>
      <c r="H474" s="34" t="s">
        <v>29</v>
      </c>
      <c r="I474" s="34" t="s">
        <v>40</v>
      </c>
      <c r="K474" s="34" t="s">
        <v>1088</v>
      </c>
      <c r="L474" s="34" t="s">
        <v>136</v>
      </c>
      <c r="M474" s="37" t="s">
        <v>210</v>
      </c>
      <c r="N474" s="24"/>
      <c r="O474" s="34" t="s">
        <v>29</v>
      </c>
      <c r="P474" s="34">
        <v>16.0</v>
      </c>
      <c r="Q474" s="36"/>
      <c r="R474" s="36"/>
      <c r="S474" s="36"/>
    </row>
    <row r="475" ht="15.75" customHeight="1">
      <c r="A475" s="33">
        <v>45589.592421203706</v>
      </c>
      <c r="B475" s="34" t="s">
        <v>465</v>
      </c>
      <c r="C475" s="34" t="s">
        <v>1034</v>
      </c>
      <c r="D475" s="34" t="s">
        <v>27</v>
      </c>
      <c r="E475" s="34" t="s">
        <v>924</v>
      </c>
      <c r="F475" s="34">
        <v>1.0</v>
      </c>
      <c r="G475" s="34">
        <v>18.0</v>
      </c>
      <c r="H475" s="34" t="s">
        <v>29</v>
      </c>
      <c r="I475" s="34" t="s">
        <v>40</v>
      </c>
      <c r="M475" s="24"/>
      <c r="N475" s="37" t="s">
        <v>1089</v>
      </c>
      <c r="O475" s="34" t="s">
        <v>40</v>
      </c>
      <c r="P475" s="34">
        <v>16.0</v>
      </c>
      <c r="Q475" s="36"/>
      <c r="R475" s="36"/>
      <c r="S475" s="36"/>
    </row>
    <row r="476" ht="15.75" customHeight="1">
      <c r="A476" s="33">
        <v>45589.596755590275</v>
      </c>
      <c r="B476" s="34" t="s">
        <v>465</v>
      </c>
      <c r="C476" s="34" t="s">
        <v>1034</v>
      </c>
      <c r="D476" s="34" t="s">
        <v>38</v>
      </c>
      <c r="E476" s="34" t="s">
        <v>1090</v>
      </c>
      <c r="F476" s="34">
        <v>1.0</v>
      </c>
      <c r="G476" s="34">
        <v>18.0</v>
      </c>
      <c r="H476" s="34" t="s">
        <v>40</v>
      </c>
      <c r="I476" s="34" t="s">
        <v>40</v>
      </c>
      <c r="J476" s="34" t="s">
        <v>1091</v>
      </c>
      <c r="L476" s="34" t="s">
        <v>1092</v>
      </c>
      <c r="M476" s="24"/>
      <c r="N476" s="24"/>
      <c r="O476" s="34" t="s">
        <v>40</v>
      </c>
      <c r="P476" s="34">
        <v>16.0</v>
      </c>
      <c r="Q476" s="36"/>
      <c r="R476" s="36"/>
      <c r="S476" s="36"/>
    </row>
    <row r="477" ht="15.75" customHeight="1">
      <c r="A477" s="33">
        <v>45590.3200690625</v>
      </c>
      <c r="B477" s="34" t="s">
        <v>124</v>
      </c>
      <c r="D477" s="34" t="s">
        <v>460</v>
      </c>
      <c r="E477" s="34" t="s">
        <v>1093</v>
      </c>
      <c r="F477" s="34">
        <v>1.0</v>
      </c>
      <c r="G477" s="34">
        <v>10.0</v>
      </c>
      <c r="H477" s="34" t="s">
        <v>29</v>
      </c>
      <c r="I477" s="34" t="s">
        <v>40</v>
      </c>
      <c r="K477" s="34" t="s">
        <v>1094</v>
      </c>
      <c r="L477" s="34" t="s">
        <v>186</v>
      </c>
      <c r="M477" s="37" t="s">
        <v>1095</v>
      </c>
      <c r="N477" s="24"/>
      <c r="O477" s="34" t="s">
        <v>126</v>
      </c>
      <c r="P477" s="34">
        <v>8.0</v>
      </c>
      <c r="Q477" s="36"/>
      <c r="R477" s="36"/>
      <c r="S477" s="36"/>
    </row>
    <row r="478" ht="15.75" customHeight="1">
      <c r="A478" s="33">
        <v>45590.51848788194</v>
      </c>
      <c r="B478" s="34" t="s">
        <v>2</v>
      </c>
      <c r="C478" s="34" t="s">
        <v>1034</v>
      </c>
      <c r="D478" s="34" t="s">
        <v>27</v>
      </c>
      <c r="E478" s="34" t="s">
        <v>199</v>
      </c>
      <c r="F478" s="34">
        <v>1.0</v>
      </c>
      <c r="G478" s="34">
        <v>36.0</v>
      </c>
      <c r="H478" s="34" t="s">
        <v>29</v>
      </c>
      <c r="I478" s="34" t="s">
        <v>40</v>
      </c>
      <c r="L478" s="34" t="s">
        <v>753</v>
      </c>
      <c r="M478" s="24"/>
      <c r="N478" s="37" t="s">
        <v>1096</v>
      </c>
      <c r="O478" s="34" t="s">
        <v>29</v>
      </c>
    </row>
    <row r="479" ht="15.75" customHeight="1">
      <c r="A479" s="33">
        <v>45590.83185905093</v>
      </c>
      <c r="B479" s="34" t="s">
        <v>1097</v>
      </c>
      <c r="C479" s="34">
        <v>7.2</v>
      </c>
      <c r="D479" s="34" t="s">
        <v>63</v>
      </c>
      <c r="E479" s="34" t="s">
        <v>1098</v>
      </c>
      <c r="F479" s="34">
        <v>2.0</v>
      </c>
      <c r="G479" s="34">
        <v>64.0</v>
      </c>
      <c r="H479" s="34" t="s">
        <v>29</v>
      </c>
      <c r="I479" s="34" t="s">
        <v>40</v>
      </c>
      <c r="L479" s="34" t="s">
        <v>111</v>
      </c>
      <c r="M479" s="35" t="s">
        <v>1099</v>
      </c>
      <c r="N479" s="24"/>
      <c r="O479" s="34" t="s">
        <v>29</v>
      </c>
      <c r="P479" s="34">
        <v>32.0</v>
      </c>
      <c r="Q479" s="36"/>
      <c r="R479" s="36"/>
      <c r="S479" s="36"/>
    </row>
    <row r="480" ht="15.75" customHeight="1">
      <c r="A480" s="33">
        <v>45591.58644206019</v>
      </c>
      <c r="B480" s="34" t="s">
        <v>61</v>
      </c>
      <c r="C480" s="34" t="s">
        <v>1100</v>
      </c>
      <c r="D480" s="34" t="s">
        <v>1101</v>
      </c>
      <c r="E480" s="34" t="s">
        <v>1102</v>
      </c>
      <c r="F480" s="34">
        <v>2.0</v>
      </c>
      <c r="G480" s="34">
        <v>16.0</v>
      </c>
      <c r="H480" s="34" t="s">
        <v>29</v>
      </c>
      <c r="I480" s="34" t="s">
        <v>40</v>
      </c>
      <c r="K480" s="34" t="s">
        <v>1103</v>
      </c>
      <c r="L480" s="34" t="s">
        <v>140</v>
      </c>
      <c r="M480" s="35" t="s">
        <v>1104</v>
      </c>
      <c r="N480" s="37" t="s">
        <v>1105</v>
      </c>
      <c r="O480" s="34" t="s">
        <v>40</v>
      </c>
      <c r="P480" s="34">
        <v>8.0</v>
      </c>
      <c r="Q480" s="36"/>
      <c r="R480" s="36"/>
      <c r="S480" s="36"/>
    </row>
    <row r="481" ht="15.75" customHeight="1">
      <c r="A481" s="33">
        <v>45593.26237964121</v>
      </c>
      <c r="B481" s="34" t="s">
        <v>465</v>
      </c>
      <c r="C481" s="34" t="s">
        <v>544</v>
      </c>
      <c r="D481" s="34" t="s">
        <v>86</v>
      </c>
      <c r="E481" s="34" t="s">
        <v>1106</v>
      </c>
      <c r="F481" s="34">
        <v>1.0</v>
      </c>
      <c r="G481" s="34">
        <v>18.0</v>
      </c>
      <c r="H481" s="34" t="s">
        <v>29</v>
      </c>
      <c r="I481" s="34" t="s">
        <v>40</v>
      </c>
      <c r="L481" s="34" t="s">
        <v>136</v>
      </c>
      <c r="M481" s="35" t="s">
        <v>137</v>
      </c>
      <c r="N481" s="24"/>
      <c r="O481" s="34" t="s">
        <v>40</v>
      </c>
      <c r="P481" s="34">
        <v>16.0</v>
      </c>
      <c r="Q481" s="36"/>
      <c r="R481" s="36"/>
      <c r="S481" s="36"/>
    </row>
    <row r="482" ht="15.75" customHeight="1">
      <c r="A482" s="33">
        <v>45593.52959414352</v>
      </c>
      <c r="B482" s="34" t="s">
        <v>465</v>
      </c>
      <c r="C482" s="34" t="s">
        <v>1034</v>
      </c>
      <c r="D482" s="34" t="s">
        <v>38</v>
      </c>
      <c r="E482" s="34" t="s">
        <v>368</v>
      </c>
      <c r="F482" s="34">
        <v>1.0</v>
      </c>
      <c r="H482" s="34" t="s">
        <v>40</v>
      </c>
      <c r="I482" s="34" t="s">
        <v>40</v>
      </c>
      <c r="J482" s="34" t="s">
        <v>1107</v>
      </c>
      <c r="M482" s="24"/>
      <c r="N482" s="24"/>
      <c r="O482" s="34" t="s">
        <v>40</v>
      </c>
      <c r="P482" s="34">
        <v>16.0</v>
      </c>
      <c r="Q482" s="36"/>
      <c r="R482" s="36"/>
      <c r="S482" s="36"/>
    </row>
    <row r="483" ht="15.75" customHeight="1">
      <c r="A483" s="33">
        <v>45593.74508446759</v>
      </c>
      <c r="B483" s="34" t="s">
        <v>288</v>
      </c>
      <c r="C483" s="34" t="s">
        <v>1034</v>
      </c>
      <c r="D483" s="34" t="s">
        <v>38</v>
      </c>
      <c r="E483" s="34" t="s">
        <v>57</v>
      </c>
      <c r="F483" s="34">
        <v>1.0</v>
      </c>
      <c r="G483" s="34">
        <v>6.0</v>
      </c>
      <c r="H483" s="34" t="s">
        <v>40</v>
      </c>
      <c r="J483" s="34" t="s">
        <v>1108</v>
      </c>
      <c r="K483" s="34" t="s">
        <v>1109</v>
      </c>
      <c r="L483" s="34" t="s">
        <v>296</v>
      </c>
      <c r="M483" s="35" t="s">
        <v>50</v>
      </c>
      <c r="N483" s="24"/>
      <c r="O483" s="34" t="s">
        <v>40</v>
      </c>
      <c r="P483" s="34">
        <v>4.0</v>
      </c>
      <c r="Q483" s="36"/>
      <c r="R483" s="36"/>
      <c r="S483" s="36"/>
    </row>
    <row r="484" ht="15.75" customHeight="1">
      <c r="A484" s="33">
        <v>45595.50206024306</v>
      </c>
      <c r="B484" s="34" t="s">
        <v>288</v>
      </c>
      <c r="C484" s="34" t="s">
        <v>1034</v>
      </c>
      <c r="D484" s="34" t="s">
        <v>1110</v>
      </c>
      <c r="E484" s="34" t="s">
        <v>1111</v>
      </c>
      <c r="F484" s="34">
        <v>1.0</v>
      </c>
      <c r="G484" s="34">
        <v>10.0</v>
      </c>
      <c r="H484" s="34" t="s">
        <v>29</v>
      </c>
      <c r="I484" s="34" t="s">
        <v>40</v>
      </c>
      <c r="J484" s="34" t="s">
        <v>1112</v>
      </c>
      <c r="K484" s="34" t="s">
        <v>1113</v>
      </c>
      <c r="L484" s="34" t="s">
        <v>296</v>
      </c>
      <c r="M484" s="35" t="s">
        <v>297</v>
      </c>
      <c r="N484" s="37" t="s">
        <v>1114</v>
      </c>
      <c r="O484" s="34" t="s">
        <v>126</v>
      </c>
      <c r="P484" s="34">
        <v>8.0</v>
      </c>
      <c r="Q484" s="36"/>
      <c r="R484" s="36"/>
      <c r="S484" s="36"/>
    </row>
    <row r="485" ht="15.75" customHeight="1">
      <c r="A485" s="33">
        <v>45596.53303810185</v>
      </c>
      <c r="B485" s="34" t="s">
        <v>298</v>
      </c>
      <c r="C485" s="34" t="s">
        <v>1034</v>
      </c>
      <c r="D485" s="34" t="s">
        <v>27</v>
      </c>
      <c r="E485" s="34" t="s">
        <v>1115</v>
      </c>
      <c r="F485" s="34">
        <v>2.0</v>
      </c>
      <c r="G485" s="34">
        <v>16.0</v>
      </c>
      <c r="H485" s="34" t="s">
        <v>40</v>
      </c>
      <c r="I485" s="34" t="s">
        <v>40</v>
      </c>
      <c r="J485" s="34" t="s">
        <v>88</v>
      </c>
      <c r="L485" s="34" t="s">
        <v>611</v>
      </c>
      <c r="M485" s="37" t="s">
        <v>612</v>
      </c>
      <c r="N485" s="24"/>
      <c r="O485" s="34" t="s">
        <v>40</v>
      </c>
      <c r="P485" s="34">
        <v>8.0</v>
      </c>
      <c r="Q485" s="36"/>
      <c r="R485" s="36"/>
      <c r="S485" s="36"/>
    </row>
    <row r="486" ht="15.75" customHeight="1">
      <c r="A486" s="33">
        <v>45596.812782928246</v>
      </c>
      <c r="B486" s="34" t="s">
        <v>99</v>
      </c>
      <c r="C486" s="34" t="s">
        <v>1116</v>
      </c>
      <c r="D486" s="34" t="s">
        <v>119</v>
      </c>
      <c r="E486" s="34" t="s">
        <v>1117</v>
      </c>
      <c r="F486" s="34">
        <v>2.0</v>
      </c>
      <c r="G486" s="34">
        <v>16.0</v>
      </c>
      <c r="H486" s="34" t="s">
        <v>29</v>
      </c>
      <c r="I486" s="34" t="s">
        <v>29</v>
      </c>
      <c r="J486" s="34" t="s">
        <v>1118</v>
      </c>
      <c r="K486" s="34" t="s">
        <v>1119</v>
      </c>
      <c r="L486" s="34" t="s">
        <v>111</v>
      </c>
      <c r="M486" s="37" t="s">
        <v>418</v>
      </c>
      <c r="N486" s="37" t="s">
        <v>1120</v>
      </c>
      <c r="O486" s="34" t="s">
        <v>29</v>
      </c>
      <c r="P486" s="34">
        <v>8.0</v>
      </c>
      <c r="Q486" s="36"/>
      <c r="R486" s="36"/>
      <c r="S486" s="36"/>
    </row>
    <row r="487" ht="15.75" customHeight="1">
      <c r="A487" s="33">
        <v>45596.81409702546</v>
      </c>
      <c r="B487" s="34" t="s">
        <v>1121</v>
      </c>
      <c r="C487" s="34" t="s">
        <v>1116</v>
      </c>
      <c r="D487" s="34" t="s">
        <v>119</v>
      </c>
      <c r="E487" s="34" t="s">
        <v>1117</v>
      </c>
      <c r="F487" s="34">
        <v>2.0</v>
      </c>
      <c r="G487" s="34">
        <v>16.0</v>
      </c>
      <c r="H487" s="34" t="s">
        <v>29</v>
      </c>
      <c r="I487" s="34" t="s">
        <v>29</v>
      </c>
      <c r="J487" s="34" t="s">
        <v>1118</v>
      </c>
      <c r="K487" s="34" t="s">
        <v>1119</v>
      </c>
      <c r="L487" s="34" t="s">
        <v>111</v>
      </c>
      <c r="M487" s="37" t="s">
        <v>418</v>
      </c>
      <c r="N487" s="37" t="s">
        <v>1120</v>
      </c>
      <c r="O487" s="34" t="s">
        <v>29</v>
      </c>
      <c r="P487" s="34">
        <v>8.0</v>
      </c>
      <c r="Q487" s="36"/>
      <c r="R487" s="36"/>
      <c r="S487" s="36"/>
    </row>
    <row r="488" ht="15.75" customHeight="1">
      <c r="A488" s="33">
        <v>45596.81643225694</v>
      </c>
      <c r="B488" s="34" t="s">
        <v>1121</v>
      </c>
      <c r="C488" s="34" t="s">
        <v>1116</v>
      </c>
      <c r="D488" s="34" t="s">
        <v>1122</v>
      </c>
      <c r="E488" s="34" t="s">
        <v>1123</v>
      </c>
      <c r="F488" s="34">
        <v>2.0</v>
      </c>
      <c r="G488" s="34">
        <v>64.0</v>
      </c>
      <c r="H488" s="34" t="s">
        <v>40</v>
      </c>
      <c r="I488" s="34" t="s">
        <v>40</v>
      </c>
      <c r="K488" s="34" t="s">
        <v>1119</v>
      </c>
      <c r="L488" s="34" t="s">
        <v>111</v>
      </c>
      <c r="M488" s="37" t="s">
        <v>418</v>
      </c>
      <c r="N488" s="24"/>
      <c r="O488" s="34" t="s">
        <v>29</v>
      </c>
      <c r="P488" s="34">
        <v>32.0</v>
      </c>
      <c r="Q488" s="36"/>
      <c r="R488" s="36"/>
      <c r="S488" s="36"/>
    </row>
    <row r="489" ht="15.75" customHeight="1">
      <c r="A489" s="33">
        <v>45596.81805539352</v>
      </c>
      <c r="B489" s="34" t="s">
        <v>99</v>
      </c>
      <c r="C489" s="34" t="s">
        <v>1116</v>
      </c>
      <c r="D489" s="34" t="s">
        <v>1122</v>
      </c>
      <c r="E489" s="34" t="s">
        <v>1123</v>
      </c>
      <c r="F489" s="34">
        <v>2.0</v>
      </c>
      <c r="G489" s="34">
        <v>64.0</v>
      </c>
      <c r="H489" s="34" t="s">
        <v>40</v>
      </c>
      <c r="I489" s="34" t="s">
        <v>40</v>
      </c>
      <c r="K489" s="34" t="s">
        <v>1119</v>
      </c>
      <c r="L489" s="34" t="s">
        <v>111</v>
      </c>
      <c r="M489" s="37" t="s">
        <v>418</v>
      </c>
      <c r="N489" s="24"/>
      <c r="O489" s="34" t="s">
        <v>29</v>
      </c>
      <c r="P489" s="34">
        <v>32.0</v>
      </c>
      <c r="Q489" s="36"/>
      <c r="R489" s="36"/>
      <c r="S489" s="36"/>
    </row>
    <row r="490" ht="15.75" customHeight="1">
      <c r="A490" s="33">
        <v>45598.609422974536</v>
      </c>
      <c r="B490" s="34" t="s">
        <v>169</v>
      </c>
      <c r="C490" s="34" t="s">
        <v>1034</v>
      </c>
      <c r="D490" s="34" t="s">
        <v>27</v>
      </c>
      <c r="E490" s="34" t="s">
        <v>999</v>
      </c>
      <c r="F490" s="34">
        <v>2.0</v>
      </c>
      <c r="G490" s="34">
        <v>32.0</v>
      </c>
      <c r="H490" s="34" t="s">
        <v>29</v>
      </c>
      <c r="I490" s="34" t="s">
        <v>40</v>
      </c>
      <c r="J490" s="34" t="s">
        <v>1124</v>
      </c>
      <c r="L490" s="34" t="s">
        <v>103</v>
      </c>
      <c r="M490" s="35" t="s">
        <v>122</v>
      </c>
      <c r="N490" s="37" t="s">
        <v>1125</v>
      </c>
      <c r="O490" s="34" t="s">
        <v>40</v>
      </c>
      <c r="P490" s="34">
        <v>16.0</v>
      </c>
      <c r="Q490" s="36"/>
      <c r="R490" s="36"/>
      <c r="S490" s="36"/>
    </row>
    <row r="491" ht="15.75" customHeight="1">
      <c r="A491" s="33">
        <v>45598.74056347222</v>
      </c>
      <c r="B491" s="34" t="s">
        <v>2</v>
      </c>
      <c r="C491" s="34" t="s">
        <v>1034</v>
      </c>
      <c r="D491" s="34" t="s">
        <v>565</v>
      </c>
      <c r="E491" s="34" t="s">
        <v>864</v>
      </c>
      <c r="F491" s="34">
        <v>2.0</v>
      </c>
      <c r="G491" s="34">
        <v>32.0</v>
      </c>
      <c r="H491" s="34" t="s">
        <v>29</v>
      </c>
      <c r="I491" s="34" t="s">
        <v>40</v>
      </c>
      <c r="L491" s="34" t="s">
        <v>111</v>
      </c>
      <c r="M491" s="35" t="s">
        <v>137</v>
      </c>
      <c r="N491" s="24"/>
      <c r="O491" s="34" t="s">
        <v>29</v>
      </c>
      <c r="P491" s="34">
        <v>16.0</v>
      </c>
      <c r="Q491" s="36"/>
      <c r="R491" s="36"/>
      <c r="S491" s="36"/>
    </row>
    <row r="492" ht="15.75" customHeight="1">
      <c r="A492" s="33">
        <v>45599.38093172453</v>
      </c>
      <c r="B492" s="34" t="s">
        <v>288</v>
      </c>
      <c r="C492" s="34" t="s">
        <v>1034</v>
      </c>
      <c r="D492" s="34" t="s">
        <v>27</v>
      </c>
      <c r="E492" s="34" t="s">
        <v>1014</v>
      </c>
      <c r="F492" s="34">
        <v>1.0</v>
      </c>
      <c r="G492" s="34">
        <v>18.0</v>
      </c>
      <c r="H492" s="34" t="s">
        <v>29</v>
      </c>
      <c r="I492" s="34" t="s">
        <v>40</v>
      </c>
      <c r="J492" s="34" t="s">
        <v>1126</v>
      </c>
      <c r="L492" s="34" t="s">
        <v>186</v>
      </c>
      <c r="M492" s="37" t="s">
        <v>472</v>
      </c>
      <c r="N492" s="24"/>
      <c r="O492" s="34" t="s">
        <v>126</v>
      </c>
      <c r="P492" s="34">
        <v>16.0</v>
      </c>
      <c r="Q492" s="36"/>
      <c r="R492" s="36"/>
      <c r="S492" s="36"/>
    </row>
    <row r="493" ht="15.75" customHeight="1">
      <c r="A493" s="33">
        <v>45599.584415474535</v>
      </c>
      <c r="B493" s="34" t="s">
        <v>124</v>
      </c>
      <c r="C493" s="34" t="s">
        <v>1034</v>
      </c>
      <c r="D493" s="34" t="s">
        <v>38</v>
      </c>
      <c r="E493" s="34" t="s">
        <v>68</v>
      </c>
      <c r="F493" s="34">
        <v>1.0</v>
      </c>
      <c r="H493" s="34" t="s">
        <v>40</v>
      </c>
      <c r="J493" s="34" t="s">
        <v>1127</v>
      </c>
      <c r="L493" s="34" t="s">
        <v>296</v>
      </c>
      <c r="M493" s="37" t="s">
        <v>210</v>
      </c>
      <c r="N493" s="24"/>
      <c r="O493" s="34" t="s">
        <v>40</v>
      </c>
      <c r="P493" s="34">
        <v>8.0</v>
      </c>
      <c r="Q493" s="36"/>
      <c r="R493" s="36"/>
      <c r="S493" s="36"/>
    </row>
    <row r="494" ht="15.75" customHeight="1">
      <c r="A494" s="33">
        <v>45599.914312939814</v>
      </c>
      <c r="B494" s="34" t="s">
        <v>36</v>
      </c>
      <c r="C494" s="34" t="s">
        <v>544</v>
      </c>
      <c r="D494" s="34" t="s">
        <v>671</v>
      </c>
      <c r="E494" s="34" t="s">
        <v>718</v>
      </c>
      <c r="F494" s="34">
        <v>1.0</v>
      </c>
      <c r="G494" s="34">
        <v>20.0</v>
      </c>
      <c r="H494" s="34" t="s">
        <v>40</v>
      </c>
      <c r="I494" s="34" t="s">
        <v>40</v>
      </c>
      <c r="J494" s="34" t="s">
        <v>1128</v>
      </c>
      <c r="K494" s="34" t="s">
        <v>1129</v>
      </c>
      <c r="L494" s="34" t="s">
        <v>31</v>
      </c>
      <c r="M494" s="35" t="s">
        <v>230</v>
      </c>
      <c r="N494" s="24"/>
      <c r="O494" s="34" t="s">
        <v>126</v>
      </c>
      <c r="P494" s="34">
        <v>16.0</v>
      </c>
      <c r="Q494" s="36"/>
      <c r="R494" s="36"/>
      <c r="S494" s="36"/>
    </row>
    <row r="495" ht="15.75" customHeight="1">
      <c r="A495" s="33">
        <v>45600.80566572917</v>
      </c>
      <c r="B495" s="34" t="s">
        <v>124</v>
      </c>
      <c r="C495" s="34" t="s">
        <v>841</v>
      </c>
      <c r="D495" s="34" t="s">
        <v>38</v>
      </c>
      <c r="E495" s="34" t="s">
        <v>400</v>
      </c>
      <c r="F495" s="34">
        <v>1.0</v>
      </c>
      <c r="G495" s="34">
        <v>18.0</v>
      </c>
      <c r="H495" s="34" t="s">
        <v>29</v>
      </c>
      <c r="I495" s="34" t="s">
        <v>40</v>
      </c>
      <c r="J495" s="34" t="s">
        <v>1130</v>
      </c>
      <c r="L495" s="34" t="s">
        <v>532</v>
      </c>
      <c r="M495" s="37" t="s">
        <v>1131</v>
      </c>
      <c r="N495" s="24"/>
      <c r="O495" s="34" t="s">
        <v>126</v>
      </c>
      <c r="P495" s="34">
        <v>16.0</v>
      </c>
      <c r="Q495" s="36"/>
      <c r="R495" s="36"/>
      <c r="S495" s="36"/>
    </row>
    <row r="496" ht="15.75" customHeight="1">
      <c r="A496" s="33">
        <v>45601.775603946764</v>
      </c>
      <c r="B496" s="34" t="s">
        <v>288</v>
      </c>
      <c r="C496" s="34" t="s">
        <v>841</v>
      </c>
      <c r="D496" s="34" t="s">
        <v>27</v>
      </c>
      <c r="E496" s="34" t="s">
        <v>329</v>
      </c>
      <c r="G496" s="34">
        <v>10.0</v>
      </c>
      <c r="H496" s="34" t="s">
        <v>29</v>
      </c>
      <c r="I496" s="34" t="s">
        <v>40</v>
      </c>
      <c r="L496" s="34" t="s">
        <v>140</v>
      </c>
      <c r="M496" s="35" t="s">
        <v>1132</v>
      </c>
      <c r="N496" s="24"/>
      <c r="O496" s="34" t="s">
        <v>40</v>
      </c>
      <c r="P496" s="34">
        <v>8.0</v>
      </c>
      <c r="Q496" s="36"/>
      <c r="R496" s="36"/>
      <c r="S496" s="36"/>
    </row>
    <row r="497" ht="15.75" customHeight="1">
      <c r="A497" s="33">
        <v>45601.80115859954</v>
      </c>
      <c r="B497" s="34" t="s">
        <v>298</v>
      </c>
      <c r="C497" s="34" t="s">
        <v>1133</v>
      </c>
      <c r="D497" s="34" t="s">
        <v>38</v>
      </c>
      <c r="E497" s="34" t="s">
        <v>1134</v>
      </c>
      <c r="F497" s="34">
        <v>2.0</v>
      </c>
      <c r="G497" s="34">
        <v>10.0</v>
      </c>
      <c r="H497" s="34" t="s">
        <v>40</v>
      </c>
      <c r="J497" s="34" t="s">
        <v>1135</v>
      </c>
      <c r="L497" s="34" t="s">
        <v>111</v>
      </c>
      <c r="M497" s="35" t="s">
        <v>50</v>
      </c>
      <c r="N497" s="24"/>
      <c r="O497" s="34" t="s">
        <v>126</v>
      </c>
      <c r="P497" s="34">
        <v>8.0</v>
      </c>
      <c r="Q497" s="36"/>
      <c r="R497" s="36"/>
      <c r="S497" s="36"/>
    </row>
    <row r="498" ht="15.75" customHeight="1">
      <c r="A498" s="33">
        <v>45605.06438239584</v>
      </c>
      <c r="B498" s="34" t="s">
        <v>465</v>
      </c>
      <c r="C498" s="34" t="s">
        <v>1034</v>
      </c>
      <c r="D498" s="34" t="s">
        <v>38</v>
      </c>
      <c r="E498" s="34" t="s">
        <v>59</v>
      </c>
      <c r="F498" s="34">
        <v>1.0</v>
      </c>
      <c r="G498" s="34">
        <v>18.0</v>
      </c>
      <c r="H498" s="34" t="s">
        <v>40</v>
      </c>
      <c r="I498" s="34" t="s">
        <v>40</v>
      </c>
      <c r="J498" s="34" t="s">
        <v>1136</v>
      </c>
      <c r="L498" s="34" t="s">
        <v>111</v>
      </c>
      <c r="M498" s="35" t="s">
        <v>50</v>
      </c>
      <c r="N498" s="24"/>
      <c r="O498" s="34" t="s">
        <v>40</v>
      </c>
      <c r="P498" s="34">
        <v>16.0</v>
      </c>
      <c r="Q498" s="36"/>
      <c r="R498" s="36"/>
      <c r="S498" s="36"/>
    </row>
    <row r="499" ht="15.75" customHeight="1">
      <c r="A499" s="33">
        <v>45605.90689197917</v>
      </c>
      <c r="B499" s="34" t="s">
        <v>36</v>
      </c>
      <c r="C499" s="34" t="s">
        <v>841</v>
      </c>
      <c r="D499" s="34" t="s">
        <v>38</v>
      </c>
      <c r="E499" s="34" t="s">
        <v>265</v>
      </c>
      <c r="F499" s="34">
        <v>1.0</v>
      </c>
      <c r="G499" s="34">
        <v>12.0</v>
      </c>
      <c r="H499" s="34" t="s">
        <v>29</v>
      </c>
      <c r="I499" s="34" t="s">
        <v>40</v>
      </c>
      <c r="K499" s="34" t="s">
        <v>1137</v>
      </c>
      <c r="L499" s="34" t="s">
        <v>103</v>
      </c>
      <c r="M499" s="37" t="s">
        <v>1138</v>
      </c>
      <c r="N499" s="37" t="s">
        <v>1139</v>
      </c>
      <c r="O499" s="34" t="s">
        <v>40</v>
      </c>
      <c r="P499" s="34">
        <v>8.0</v>
      </c>
      <c r="Q499" s="36"/>
      <c r="R499" s="36"/>
      <c r="S499" s="36"/>
    </row>
    <row r="500" ht="15.75" customHeight="1">
      <c r="A500" s="33">
        <v>45606.72714099537</v>
      </c>
      <c r="B500" s="34" t="s">
        <v>1140</v>
      </c>
      <c r="C500" s="34" t="s">
        <v>1141</v>
      </c>
      <c r="D500" s="34" t="s">
        <v>27</v>
      </c>
      <c r="E500" s="34" t="s">
        <v>157</v>
      </c>
      <c r="F500" s="34">
        <v>1.0</v>
      </c>
      <c r="G500" s="34">
        <v>20.0</v>
      </c>
      <c r="H500" s="34" t="s">
        <v>29</v>
      </c>
      <c r="I500" s="34" t="s">
        <v>40</v>
      </c>
      <c r="J500" s="34" t="s">
        <v>1142</v>
      </c>
      <c r="L500" s="34" t="s">
        <v>103</v>
      </c>
      <c r="M500" s="35" t="s">
        <v>159</v>
      </c>
      <c r="N500" s="37" t="s">
        <v>1143</v>
      </c>
      <c r="O500" s="34" t="s">
        <v>40</v>
      </c>
      <c r="P500" s="34">
        <v>16.0</v>
      </c>
      <c r="Q500" s="36"/>
      <c r="R500" s="36"/>
      <c r="S500" s="36"/>
    </row>
    <row r="501" ht="15.75" customHeight="1">
      <c r="A501" s="33">
        <v>45606.78334064815</v>
      </c>
      <c r="B501" s="34" t="s">
        <v>36</v>
      </c>
      <c r="C501" s="34" t="s">
        <v>1144</v>
      </c>
      <c r="D501" s="34" t="s">
        <v>27</v>
      </c>
      <c r="E501" s="34" t="s">
        <v>231</v>
      </c>
      <c r="F501" s="34">
        <v>1.0</v>
      </c>
      <c r="G501" s="34">
        <v>12.0</v>
      </c>
      <c r="H501" s="34" t="s">
        <v>40</v>
      </c>
      <c r="K501" s="34" t="s">
        <v>1145</v>
      </c>
      <c r="L501" s="34" t="s">
        <v>608</v>
      </c>
      <c r="M501" s="37" t="s">
        <v>1146</v>
      </c>
      <c r="N501" s="24"/>
      <c r="O501" s="34" t="s">
        <v>40</v>
      </c>
      <c r="P501" s="34">
        <v>8.0</v>
      </c>
      <c r="Q501" s="36"/>
      <c r="R501" s="36"/>
      <c r="S501" s="36"/>
    </row>
    <row r="502" ht="15.75" customHeight="1">
      <c r="A502" s="33">
        <v>45608.61087071759</v>
      </c>
      <c r="B502" s="34" t="s">
        <v>465</v>
      </c>
      <c r="C502" s="34" t="s">
        <v>1034</v>
      </c>
      <c r="D502" s="34" t="s">
        <v>101</v>
      </c>
      <c r="E502" s="34" t="s">
        <v>1147</v>
      </c>
      <c r="F502" s="34">
        <v>1.0</v>
      </c>
      <c r="G502" s="34">
        <v>10.0</v>
      </c>
      <c r="H502" s="34" t="s">
        <v>40</v>
      </c>
      <c r="J502" s="34" t="s">
        <v>1148</v>
      </c>
      <c r="K502" s="34" t="s">
        <v>1149</v>
      </c>
      <c r="M502" s="24"/>
      <c r="N502" s="24"/>
      <c r="O502" s="34" t="s">
        <v>126</v>
      </c>
      <c r="P502" s="34">
        <v>8.0</v>
      </c>
      <c r="Q502" s="36"/>
      <c r="R502" s="36"/>
      <c r="S502" s="36"/>
    </row>
    <row r="503" ht="15.75" customHeight="1">
      <c r="A503" s="33">
        <v>45608.742294537034</v>
      </c>
      <c r="B503" s="34" t="s">
        <v>465</v>
      </c>
      <c r="C503" s="34" t="s">
        <v>1034</v>
      </c>
      <c r="D503" s="34" t="s">
        <v>38</v>
      </c>
      <c r="E503" s="34" t="s">
        <v>57</v>
      </c>
      <c r="F503" s="34">
        <v>1.0</v>
      </c>
      <c r="G503" s="34">
        <v>6.0</v>
      </c>
      <c r="H503" s="34" t="s">
        <v>29</v>
      </c>
      <c r="I503" s="34" t="s">
        <v>40</v>
      </c>
      <c r="M503" s="24"/>
      <c r="N503" s="37" t="s">
        <v>1150</v>
      </c>
      <c r="O503" s="34" t="s">
        <v>40</v>
      </c>
      <c r="P503" s="34">
        <v>4.0</v>
      </c>
      <c r="Q503" s="36"/>
      <c r="R503" s="36"/>
      <c r="S503" s="36"/>
    </row>
    <row r="504" ht="15.75" customHeight="1">
      <c r="A504" s="33">
        <v>45610.46118597222</v>
      </c>
      <c r="B504" s="34" t="s">
        <v>138</v>
      </c>
      <c r="C504" s="34" t="s">
        <v>1141</v>
      </c>
      <c r="D504" s="34" t="s">
        <v>38</v>
      </c>
      <c r="E504" s="34" t="s">
        <v>775</v>
      </c>
      <c r="F504" s="34">
        <v>2.0</v>
      </c>
      <c r="G504" s="34">
        <v>16.0</v>
      </c>
      <c r="H504" s="34" t="s">
        <v>29</v>
      </c>
      <c r="I504" s="34" t="s">
        <v>40</v>
      </c>
      <c r="J504" s="34" t="s">
        <v>40</v>
      </c>
      <c r="M504" s="24"/>
      <c r="N504" s="24"/>
      <c r="O504" s="34" t="s">
        <v>126</v>
      </c>
      <c r="P504" s="34">
        <v>8.0</v>
      </c>
      <c r="Q504" s="36"/>
      <c r="R504" s="36"/>
      <c r="S504" s="36"/>
    </row>
    <row r="505" ht="15.75" customHeight="1">
      <c r="A505" s="33">
        <v>45610.7628677662</v>
      </c>
      <c r="B505" s="34" t="s">
        <v>465</v>
      </c>
      <c r="C505" s="34" t="s">
        <v>1034</v>
      </c>
      <c r="D505" s="34" t="s">
        <v>27</v>
      </c>
      <c r="E505" s="34" t="s">
        <v>329</v>
      </c>
      <c r="F505" s="34">
        <v>1.0</v>
      </c>
      <c r="G505" s="34">
        <v>10.0</v>
      </c>
      <c r="H505" s="34" t="s">
        <v>29</v>
      </c>
      <c r="I505" s="34" t="s">
        <v>40</v>
      </c>
      <c r="M505" s="24"/>
      <c r="N505" s="37" t="s">
        <v>1151</v>
      </c>
      <c r="O505" s="34" t="s">
        <v>40</v>
      </c>
      <c r="P505" s="34">
        <v>8.0</v>
      </c>
      <c r="Q505" s="36"/>
      <c r="R505" s="36"/>
      <c r="S505" s="36"/>
    </row>
    <row r="506" ht="15.75" customHeight="1">
      <c r="A506" s="33">
        <v>45614.39909664352</v>
      </c>
      <c r="B506" s="34" t="s">
        <v>465</v>
      </c>
      <c r="C506" s="34" t="s">
        <v>1141</v>
      </c>
      <c r="D506" s="34" t="s">
        <v>27</v>
      </c>
      <c r="E506" s="34" t="s">
        <v>329</v>
      </c>
      <c r="F506" s="34">
        <v>1.0</v>
      </c>
      <c r="G506" s="34">
        <v>10.0</v>
      </c>
      <c r="H506" s="34" t="s">
        <v>29</v>
      </c>
      <c r="I506" s="34" t="s">
        <v>40</v>
      </c>
      <c r="M506" s="24"/>
      <c r="N506" s="37" t="s">
        <v>1151</v>
      </c>
      <c r="O506" s="34" t="s">
        <v>40</v>
      </c>
      <c r="P506" s="34">
        <v>8.0</v>
      </c>
      <c r="Q506" s="36"/>
      <c r="R506" s="36"/>
      <c r="S506" s="36"/>
    </row>
    <row r="507" ht="15.75" customHeight="1">
      <c r="A507" s="33">
        <v>45615.34628408565</v>
      </c>
      <c r="B507" s="34" t="s">
        <v>1152</v>
      </c>
      <c r="C507" s="34" t="s">
        <v>1141</v>
      </c>
      <c r="D507" s="34" t="s">
        <v>27</v>
      </c>
      <c r="E507" s="34" t="s">
        <v>1153</v>
      </c>
      <c r="F507" s="34">
        <v>1.0</v>
      </c>
      <c r="G507" s="34">
        <v>8.0</v>
      </c>
      <c r="H507" s="34" t="s">
        <v>40</v>
      </c>
      <c r="I507" s="34" t="s">
        <v>40</v>
      </c>
      <c r="J507" s="34" t="s">
        <v>1154</v>
      </c>
      <c r="K507" s="34" t="s">
        <v>1155</v>
      </c>
      <c r="L507" s="34" t="s">
        <v>1156</v>
      </c>
      <c r="M507" s="37" t="s">
        <v>1157</v>
      </c>
      <c r="N507" s="24"/>
      <c r="O507" s="34" t="s">
        <v>40</v>
      </c>
      <c r="P507" s="34">
        <v>8.0</v>
      </c>
      <c r="Q507" s="36"/>
      <c r="R507" s="36"/>
      <c r="S507" s="36"/>
    </row>
    <row r="508" ht="15.75" customHeight="1">
      <c r="A508" s="33">
        <v>45616.947425439816</v>
      </c>
      <c r="B508" s="34" t="s">
        <v>465</v>
      </c>
      <c r="C508" s="34" t="s">
        <v>936</v>
      </c>
      <c r="D508" s="34" t="s">
        <v>107</v>
      </c>
      <c r="E508" s="34" t="s">
        <v>1158</v>
      </c>
      <c r="F508" s="34">
        <v>1.0</v>
      </c>
      <c r="G508" s="34">
        <v>18.0</v>
      </c>
      <c r="H508" s="34" t="s">
        <v>29</v>
      </c>
      <c r="I508" s="34" t="s">
        <v>40</v>
      </c>
      <c r="M508" s="37" t="s">
        <v>1159</v>
      </c>
      <c r="N508" s="24"/>
      <c r="O508" s="34" t="s">
        <v>40</v>
      </c>
      <c r="P508" s="34">
        <v>16.0</v>
      </c>
      <c r="Q508" s="36"/>
      <c r="R508" s="36"/>
      <c r="S508" s="36"/>
    </row>
    <row r="509" ht="15.75" customHeight="1">
      <c r="A509" s="33">
        <v>45617.0078296875</v>
      </c>
      <c r="B509" s="34" t="s">
        <v>465</v>
      </c>
      <c r="C509" s="34" t="s">
        <v>1141</v>
      </c>
      <c r="D509" s="34" t="s">
        <v>38</v>
      </c>
      <c r="E509" s="34" t="s">
        <v>265</v>
      </c>
      <c r="F509" s="34">
        <v>1.0</v>
      </c>
      <c r="G509" s="34">
        <v>10.0</v>
      </c>
      <c r="H509" s="34" t="s">
        <v>29</v>
      </c>
      <c r="I509" s="34" t="s">
        <v>40</v>
      </c>
      <c r="K509" s="41" t="s">
        <v>1160</v>
      </c>
      <c r="L509" s="34" t="s">
        <v>111</v>
      </c>
      <c r="M509" s="35" t="s">
        <v>50</v>
      </c>
      <c r="N509" s="37" t="s">
        <v>1161</v>
      </c>
      <c r="O509" s="34" t="s">
        <v>40</v>
      </c>
      <c r="P509" s="34">
        <v>8.0</v>
      </c>
      <c r="Q509" s="36"/>
      <c r="R509" s="36"/>
      <c r="S509" s="36"/>
    </row>
    <row r="510" ht="15.75" customHeight="1">
      <c r="A510" s="33">
        <v>45618.2899380787</v>
      </c>
      <c r="B510" s="34" t="s">
        <v>294</v>
      </c>
      <c r="C510" s="34" t="s">
        <v>1141</v>
      </c>
      <c r="D510" s="34" t="s">
        <v>38</v>
      </c>
      <c r="E510" s="34" t="s">
        <v>368</v>
      </c>
      <c r="F510" s="34">
        <v>1.0</v>
      </c>
      <c r="G510" s="34">
        <v>20.0</v>
      </c>
      <c r="H510" s="34" t="s">
        <v>29</v>
      </c>
      <c r="I510" s="34" t="s">
        <v>40</v>
      </c>
      <c r="J510" s="34" t="s">
        <v>1162</v>
      </c>
      <c r="K510" s="34" t="s">
        <v>1163</v>
      </c>
      <c r="L510" s="34" t="s">
        <v>111</v>
      </c>
      <c r="M510" s="35" t="s">
        <v>50</v>
      </c>
      <c r="N510" s="37" t="s">
        <v>1164</v>
      </c>
      <c r="O510" s="34" t="s">
        <v>40</v>
      </c>
      <c r="P510" s="34">
        <v>16.0</v>
      </c>
      <c r="Q510" s="36"/>
      <c r="R510" s="36"/>
      <c r="S510" s="36"/>
    </row>
    <row r="511" ht="15.75" customHeight="1">
      <c r="A511" s="33">
        <v>45618.91467903936</v>
      </c>
      <c r="B511" s="34" t="s">
        <v>2</v>
      </c>
      <c r="C511" s="34" t="s">
        <v>1141</v>
      </c>
      <c r="D511" s="34" t="s">
        <v>1122</v>
      </c>
      <c r="E511" s="34" t="s">
        <v>1123</v>
      </c>
      <c r="F511" s="34">
        <v>2.0</v>
      </c>
      <c r="G511" s="34">
        <v>64.0</v>
      </c>
      <c r="H511" s="34" t="s">
        <v>29</v>
      </c>
      <c r="I511" s="34" t="s">
        <v>40</v>
      </c>
      <c r="K511" s="34" t="s">
        <v>1165</v>
      </c>
      <c r="L511" s="34" t="s">
        <v>111</v>
      </c>
      <c r="M511" s="35" t="s">
        <v>631</v>
      </c>
      <c r="N511" s="37" t="s">
        <v>1166</v>
      </c>
      <c r="O511" s="34" t="s">
        <v>29</v>
      </c>
      <c r="P511" s="34">
        <v>32.0</v>
      </c>
      <c r="Q511" s="36"/>
      <c r="R511" s="36"/>
      <c r="S511" s="36"/>
    </row>
    <row r="512" ht="15.75" customHeight="1">
      <c r="A512" s="33">
        <v>45619.372605682875</v>
      </c>
      <c r="B512" s="34" t="s">
        <v>465</v>
      </c>
      <c r="C512" s="34" t="s">
        <v>1141</v>
      </c>
      <c r="D512" s="34" t="s">
        <v>1046</v>
      </c>
      <c r="E512" s="34" t="s">
        <v>447</v>
      </c>
      <c r="F512" s="34">
        <v>1.0</v>
      </c>
      <c r="G512" s="34">
        <v>18.0</v>
      </c>
      <c r="H512" s="34" t="s">
        <v>29</v>
      </c>
      <c r="I512" s="34" t="s">
        <v>40</v>
      </c>
      <c r="M512" s="37" t="s">
        <v>1167</v>
      </c>
      <c r="N512" s="37" t="s">
        <v>1168</v>
      </c>
      <c r="O512" s="34" t="s">
        <v>40</v>
      </c>
      <c r="P512" s="34">
        <v>16.0</v>
      </c>
      <c r="Q512" s="36"/>
      <c r="R512" s="36"/>
      <c r="S512" s="36"/>
    </row>
    <row r="513" ht="15.75" customHeight="1">
      <c r="A513" s="33">
        <v>45620.6603540162</v>
      </c>
      <c r="B513" s="34" t="s">
        <v>2</v>
      </c>
      <c r="C513" s="34" t="s">
        <v>1141</v>
      </c>
      <c r="D513" s="34" t="s">
        <v>47</v>
      </c>
      <c r="E513" s="34" t="s">
        <v>1169</v>
      </c>
      <c r="F513" s="34">
        <v>2.0</v>
      </c>
      <c r="G513" s="34">
        <v>32.0</v>
      </c>
      <c r="H513" s="34" t="s">
        <v>40</v>
      </c>
      <c r="I513" s="34" t="s">
        <v>40</v>
      </c>
      <c r="J513" s="34" t="s">
        <v>1170</v>
      </c>
      <c r="L513" s="34" t="s">
        <v>111</v>
      </c>
      <c r="M513" s="35" t="s">
        <v>116</v>
      </c>
      <c r="N513" s="37" t="s">
        <v>1171</v>
      </c>
      <c r="O513" s="34" t="s">
        <v>29</v>
      </c>
      <c r="P513" s="34">
        <v>16.0</v>
      </c>
      <c r="Q513" s="36"/>
      <c r="R513" s="36"/>
      <c r="S513" s="36"/>
    </row>
    <row r="514" ht="15.75" customHeight="1">
      <c r="A514" s="33">
        <v>45625.40368230324</v>
      </c>
      <c r="B514" s="34" t="s">
        <v>1172</v>
      </c>
      <c r="C514" s="34" t="s">
        <v>1173</v>
      </c>
      <c r="D514" s="34" t="s">
        <v>38</v>
      </c>
      <c r="E514" s="34" t="s">
        <v>634</v>
      </c>
      <c r="F514" s="34">
        <v>1.0</v>
      </c>
      <c r="G514" s="34">
        <v>8.0</v>
      </c>
      <c r="H514" s="34" t="s">
        <v>29</v>
      </c>
      <c r="I514" s="34" t="s">
        <v>40</v>
      </c>
      <c r="J514" s="34" t="s">
        <v>1174</v>
      </c>
      <c r="K514" s="34" t="s">
        <v>1175</v>
      </c>
      <c r="L514" s="34" t="s">
        <v>31</v>
      </c>
      <c r="M514" s="37" t="s">
        <v>260</v>
      </c>
      <c r="N514" s="37" t="s">
        <v>1176</v>
      </c>
      <c r="O514" s="34" t="s">
        <v>40</v>
      </c>
      <c r="P514" s="34">
        <v>8.0</v>
      </c>
      <c r="Q514" s="36"/>
      <c r="R514" s="36"/>
      <c r="S514" s="36"/>
    </row>
    <row r="515" ht="15.75" customHeight="1">
      <c r="A515" s="33">
        <v>45625.45896790509</v>
      </c>
      <c r="B515" s="34" t="s">
        <v>124</v>
      </c>
      <c r="C515" s="34" t="s">
        <v>1141</v>
      </c>
      <c r="D515" s="34" t="s">
        <v>38</v>
      </c>
      <c r="E515" s="34" t="s">
        <v>649</v>
      </c>
      <c r="F515" s="34">
        <v>1.0</v>
      </c>
      <c r="G515" s="34">
        <v>10.0</v>
      </c>
      <c r="H515" s="34" t="s">
        <v>40</v>
      </c>
      <c r="I515" s="34" t="s">
        <v>40</v>
      </c>
      <c r="J515" s="34" t="s">
        <v>1177</v>
      </c>
      <c r="M515" s="37" t="s">
        <v>210</v>
      </c>
      <c r="N515" s="24"/>
      <c r="O515" s="34" t="s">
        <v>126</v>
      </c>
      <c r="P515" s="34">
        <v>8.0</v>
      </c>
      <c r="Q515" s="36"/>
      <c r="R515" s="36"/>
      <c r="S515" s="36"/>
    </row>
    <row r="516" ht="15.75" customHeight="1">
      <c r="A516" s="33">
        <v>45625.50795368056</v>
      </c>
      <c r="B516" s="34" t="s">
        <v>169</v>
      </c>
      <c r="C516" s="34" t="s">
        <v>1173</v>
      </c>
      <c r="D516" s="34" t="s">
        <v>63</v>
      </c>
      <c r="E516" s="34" t="s">
        <v>1178</v>
      </c>
      <c r="F516" s="34">
        <v>2.0</v>
      </c>
      <c r="G516" s="34">
        <v>32.0</v>
      </c>
      <c r="H516" s="34" t="s">
        <v>29</v>
      </c>
      <c r="I516" s="34" t="s">
        <v>40</v>
      </c>
      <c r="J516" s="34" t="s">
        <v>1179</v>
      </c>
      <c r="K516" s="34" t="s">
        <v>1180</v>
      </c>
      <c r="L516" s="34" t="s">
        <v>111</v>
      </c>
      <c r="M516" s="35" t="s">
        <v>50</v>
      </c>
      <c r="N516" s="37" t="s">
        <v>1181</v>
      </c>
      <c r="O516" s="34" t="s">
        <v>29</v>
      </c>
      <c r="P516" s="34">
        <v>16.0</v>
      </c>
      <c r="Q516" s="36"/>
      <c r="R516" s="36"/>
      <c r="S516" s="36"/>
    </row>
    <row r="517" ht="15.75" customHeight="1">
      <c r="A517" s="33">
        <v>45625.70273929398</v>
      </c>
      <c r="B517" s="34" t="s">
        <v>169</v>
      </c>
      <c r="C517" s="34" t="s">
        <v>841</v>
      </c>
      <c r="D517" s="34" t="s">
        <v>716</v>
      </c>
      <c r="E517" s="34" t="s">
        <v>1182</v>
      </c>
      <c r="F517" s="34">
        <v>2.0</v>
      </c>
      <c r="G517" s="34">
        <v>32.0</v>
      </c>
      <c r="H517" s="34" t="s">
        <v>29</v>
      </c>
      <c r="I517" s="34" t="s">
        <v>40</v>
      </c>
      <c r="L517" s="34" t="s">
        <v>111</v>
      </c>
      <c r="M517" s="35" t="s">
        <v>50</v>
      </c>
      <c r="N517" s="24"/>
      <c r="O517" s="34" t="s">
        <v>40</v>
      </c>
      <c r="P517" s="34">
        <v>16.0</v>
      </c>
      <c r="Q517" s="36"/>
      <c r="R517" s="36"/>
      <c r="S517" s="36"/>
    </row>
    <row r="518" ht="15.75" customHeight="1">
      <c r="A518" s="33">
        <v>45625.7983919213</v>
      </c>
      <c r="B518" s="34" t="s">
        <v>2</v>
      </c>
      <c r="C518" s="34" t="s">
        <v>1141</v>
      </c>
      <c r="D518" s="34" t="s">
        <v>47</v>
      </c>
      <c r="E518" s="34" t="s">
        <v>501</v>
      </c>
      <c r="F518" s="34">
        <v>2.0</v>
      </c>
      <c r="G518" s="34">
        <v>32.0</v>
      </c>
      <c r="H518" s="34" t="s">
        <v>29</v>
      </c>
      <c r="I518" s="34" t="s">
        <v>40</v>
      </c>
      <c r="J518" s="34" t="s">
        <v>1183</v>
      </c>
      <c r="L518" s="34" t="s">
        <v>111</v>
      </c>
      <c r="M518" s="35" t="s">
        <v>50</v>
      </c>
      <c r="N518" s="37" t="s">
        <v>1184</v>
      </c>
      <c r="O518" s="34" t="s">
        <v>29</v>
      </c>
      <c r="P518" s="34">
        <v>16.0</v>
      </c>
      <c r="Q518" s="36"/>
      <c r="R518" s="36"/>
      <c r="S518" s="36"/>
    </row>
    <row r="519" ht="15.75" customHeight="1">
      <c r="A519" s="33">
        <v>45626.89149322917</v>
      </c>
      <c r="B519" s="34" t="s">
        <v>465</v>
      </c>
      <c r="C519" s="34" t="s">
        <v>1173</v>
      </c>
      <c r="D519" s="34" t="s">
        <v>38</v>
      </c>
      <c r="E519" s="34" t="s">
        <v>39</v>
      </c>
      <c r="F519" s="34">
        <v>1.0</v>
      </c>
      <c r="G519" s="34">
        <v>18.0</v>
      </c>
      <c r="H519" s="34" t="s">
        <v>29</v>
      </c>
      <c r="I519" s="34" t="s">
        <v>40</v>
      </c>
      <c r="K519" s="34" t="s">
        <v>1185</v>
      </c>
      <c r="L519" s="34" t="s">
        <v>111</v>
      </c>
      <c r="M519" s="35" t="s">
        <v>106</v>
      </c>
      <c r="N519" s="24"/>
      <c r="O519" s="34" t="s">
        <v>126</v>
      </c>
      <c r="P519" s="34">
        <v>16.0</v>
      </c>
      <c r="Q519" s="36"/>
      <c r="R519" s="36"/>
      <c r="S519" s="36"/>
    </row>
    <row r="520" ht="15.75" customHeight="1">
      <c r="A520" s="33">
        <v>45627.46005112269</v>
      </c>
      <c r="B520" s="34" t="s">
        <v>465</v>
      </c>
      <c r="C520" s="34" t="s">
        <v>1141</v>
      </c>
      <c r="D520" s="34" t="s">
        <v>1186</v>
      </c>
      <c r="E520" s="34" t="s">
        <v>923</v>
      </c>
      <c r="F520" s="34">
        <v>1.0</v>
      </c>
      <c r="G520" s="34">
        <v>18.0</v>
      </c>
      <c r="H520" s="34" t="s">
        <v>29</v>
      </c>
      <c r="I520" s="34" t="s">
        <v>40</v>
      </c>
      <c r="J520" s="34" t="s">
        <v>1187</v>
      </c>
      <c r="K520" s="34" t="s">
        <v>1188</v>
      </c>
      <c r="L520" s="34" t="s">
        <v>420</v>
      </c>
      <c r="M520" s="37" t="s">
        <v>210</v>
      </c>
      <c r="N520" s="37" t="s">
        <v>1189</v>
      </c>
      <c r="O520" s="34" t="s">
        <v>126</v>
      </c>
      <c r="P520" s="34">
        <v>16.0</v>
      </c>
      <c r="Q520" s="36"/>
      <c r="R520" s="36"/>
      <c r="S520" s="36"/>
    </row>
    <row r="521" ht="15.75" customHeight="1">
      <c r="A521" s="33">
        <v>45627.477834247686</v>
      </c>
      <c r="B521" s="34" t="s">
        <v>288</v>
      </c>
      <c r="C521" s="34" t="s">
        <v>1173</v>
      </c>
      <c r="D521" s="34" t="s">
        <v>38</v>
      </c>
      <c r="E521" s="34" t="s">
        <v>1090</v>
      </c>
      <c r="F521" s="34">
        <v>1.0</v>
      </c>
      <c r="G521" s="34">
        <v>18.0</v>
      </c>
      <c r="H521" s="34" t="s">
        <v>40</v>
      </c>
      <c r="J521" s="34" t="s">
        <v>1190</v>
      </c>
      <c r="M521" s="24"/>
      <c r="N521" s="24"/>
      <c r="O521" s="34" t="s">
        <v>40</v>
      </c>
      <c r="P521" s="34">
        <v>16.0</v>
      </c>
      <c r="Q521" s="36"/>
      <c r="R521" s="36"/>
      <c r="S521" s="36"/>
    </row>
    <row r="522" ht="15.75" customHeight="1">
      <c r="A522" s="33">
        <v>45627.48908616898</v>
      </c>
      <c r="B522" s="34" t="s">
        <v>465</v>
      </c>
      <c r="C522" s="34" t="s">
        <v>1173</v>
      </c>
      <c r="D522" s="34" t="s">
        <v>38</v>
      </c>
      <c r="E522" s="34" t="s">
        <v>1191</v>
      </c>
      <c r="F522" s="34">
        <v>1.0</v>
      </c>
      <c r="G522" s="34">
        <v>18.0</v>
      </c>
      <c r="H522" s="34" t="s">
        <v>40</v>
      </c>
      <c r="K522" s="34" t="s">
        <v>1188</v>
      </c>
      <c r="L522" s="34" t="s">
        <v>420</v>
      </c>
      <c r="M522" s="35" t="s">
        <v>421</v>
      </c>
      <c r="N522" s="24"/>
      <c r="O522" s="34" t="s">
        <v>40</v>
      </c>
      <c r="P522" s="34">
        <v>16.0</v>
      </c>
      <c r="Q522" s="36"/>
      <c r="R522" s="36"/>
      <c r="S522" s="36"/>
    </row>
    <row r="523" ht="15.75" customHeight="1">
      <c r="A523" s="33">
        <v>45627.49996930556</v>
      </c>
      <c r="B523" s="34" t="s">
        <v>465</v>
      </c>
      <c r="C523" s="34" t="s">
        <v>1173</v>
      </c>
      <c r="D523" s="34" t="s">
        <v>71</v>
      </c>
      <c r="E523" s="34" t="s">
        <v>940</v>
      </c>
      <c r="F523" s="34">
        <v>1.0</v>
      </c>
      <c r="G523" s="34">
        <v>18.0</v>
      </c>
      <c r="H523" s="34" t="s">
        <v>29</v>
      </c>
      <c r="J523" s="34" t="s">
        <v>1192</v>
      </c>
      <c r="L523" s="34" t="s">
        <v>420</v>
      </c>
      <c r="M523" s="35" t="s">
        <v>1193</v>
      </c>
      <c r="N523" s="24"/>
      <c r="O523" s="34" t="s">
        <v>40</v>
      </c>
      <c r="P523" s="34">
        <v>16.0</v>
      </c>
      <c r="Q523" s="36"/>
      <c r="R523" s="36"/>
      <c r="S523" s="36"/>
    </row>
    <row r="524" ht="15.75" customHeight="1">
      <c r="A524" s="33">
        <v>45627.50179707176</v>
      </c>
      <c r="B524" s="34" t="s">
        <v>465</v>
      </c>
      <c r="C524" s="34" t="s">
        <v>1173</v>
      </c>
      <c r="D524" s="34" t="s">
        <v>86</v>
      </c>
      <c r="E524" s="34" t="s">
        <v>891</v>
      </c>
      <c r="F524" s="34">
        <v>1.0</v>
      </c>
      <c r="G524" s="34">
        <v>18.0</v>
      </c>
      <c r="H524" s="34" t="s">
        <v>40</v>
      </c>
      <c r="L524" s="34" t="s">
        <v>420</v>
      </c>
      <c r="M524" s="35" t="s">
        <v>1193</v>
      </c>
      <c r="N524" s="24"/>
      <c r="O524" s="34" t="s">
        <v>126</v>
      </c>
      <c r="P524" s="34">
        <v>16.0</v>
      </c>
      <c r="Q524" s="36"/>
      <c r="R524" s="36"/>
      <c r="S524" s="36"/>
    </row>
    <row r="525" ht="15.75" customHeight="1">
      <c r="A525" s="33">
        <v>45627.62951701389</v>
      </c>
      <c r="B525" s="34" t="s">
        <v>465</v>
      </c>
      <c r="C525" s="34" t="s">
        <v>1173</v>
      </c>
      <c r="D525" s="34" t="s">
        <v>38</v>
      </c>
      <c r="E525" s="34" t="s">
        <v>1194</v>
      </c>
      <c r="F525" s="34">
        <v>1.0</v>
      </c>
      <c r="G525" s="34">
        <v>18.0</v>
      </c>
      <c r="H525" s="34" t="s">
        <v>29</v>
      </c>
      <c r="I525" s="34" t="s">
        <v>40</v>
      </c>
      <c r="L525" s="34" t="s">
        <v>354</v>
      </c>
      <c r="M525" s="24"/>
      <c r="N525" s="24"/>
      <c r="O525" s="34" t="s">
        <v>40</v>
      </c>
      <c r="P525" s="34">
        <v>16.0</v>
      </c>
      <c r="Q525" s="36"/>
      <c r="R525" s="36"/>
      <c r="S525" s="36"/>
    </row>
    <row r="526" ht="15.75" customHeight="1">
      <c r="A526" s="33">
        <v>45627.86555004629</v>
      </c>
      <c r="B526" s="34" t="s">
        <v>124</v>
      </c>
      <c r="C526" s="34" t="s">
        <v>1195</v>
      </c>
      <c r="D526" s="34" t="s">
        <v>1196</v>
      </c>
      <c r="E526" s="34" t="s">
        <v>1197</v>
      </c>
      <c r="F526" s="34">
        <v>1.0</v>
      </c>
      <c r="G526" s="34">
        <v>4.0</v>
      </c>
      <c r="H526" s="34" t="s">
        <v>40</v>
      </c>
      <c r="I526" s="34" t="s">
        <v>40</v>
      </c>
      <c r="J526" s="34" t="s">
        <v>1198</v>
      </c>
      <c r="K526" s="34" t="s">
        <v>1199</v>
      </c>
      <c r="L526" s="34" t="s">
        <v>140</v>
      </c>
      <c r="M526" s="37" t="s">
        <v>1196</v>
      </c>
      <c r="N526" s="24"/>
      <c r="O526" s="34" t="s">
        <v>29</v>
      </c>
      <c r="P526" s="34">
        <v>2.0</v>
      </c>
      <c r="Q526" s="36"/>
      <c r="R526" s="36"/>
      <c r="S526" s="36"/>
    </row>
    <row r="527" ht="15.75" customHeight="1">
      <c r="A527" s="33">
        <v>45627.8683437963</v>
      </c>
      <c r="B527" s="34" t="s">
        <v>138</v>
      </c>
      <c r="C527" s="34" t="s">
        <v>1173</v>
      </c>
      <c r="D527" s="34" t="s">
        <v>38</v>
      </c>
      <c r="E527" s="34" t="s">
        <v>368</v>
      </c>
      <c r="F527" s="34">
        <v>2.0</v>
      </c>
      <c r="G527" s="34">
        <v>32.0</v>
      </c>
      <c r="H527" s="34" t="s">
        <v>29</v>
      </c>
      <c r="I527" s="34" t="s">
        <v>40</v>
      </c>
      <c r="K527" s="34" t="s">
        <v>1199</v>
      </c>
      <c r="L527" s="34" t="s">
        <v>140</v>
      </c>
      <c r="M527" s="37" t="s">
        <v>600</v>
      </c>
      <c r="N527" s="24"/>
      <c r="O527" s="34" t="s">
        <v>29</v>
      </c>
      <c r="P527" s="34">
        <v>16.0</v>
      </c>
      <c r="Q527" s="36"/>
      <c r="R527" s="36"/>
      <c r="S527" s="36"/>
    </row>
    <row r="528" ht="15.75" customHeight="1">
      <c r="A528" s="33">
        <v>45628.11639098379</v>
      </c>
      <c r="B528" s="34" t="s">
        <v>465</v>
      </c>
      <c r="C528" s="34" t="s">
        <v>1173</v>
      </c>
      <c r="D528" s="34" t="s">
        <v>119</v>
      </c>
      <c r="E528" s="34" t="s">
        <v>812</v>
      </c>
      <c r="F528" s="34">
        <v>1.0</v>
      </c>
      <c r="G528" s="34">
        <v>18.0</v>
      </c>
      <c r="H528" s="34" t="s">
        <v>29</v>
      </c>
      <c r="I528" s="34" t="s">
        <v>40</v>
      </c>
      <c r="L528" s="34" t="s">
        <v>111</v>
      </c>
      <c r="M528" s="35" t="s">
        <v>50</v>
      </c>
      <c r="N528" s="37" t="s">
        <v>1200</v>
      </c>
      <c r="O528" s="34" t="s">
        <v>40</v>
      </c>
      <c r="P528" s="34">
        <v>16.0</v>
      </c>
      <c r="Q528" s="36"/>
      <c r="R528" s="36"/>
      <c r="S528" s="36"/>
    </row>
    <row r="529" ht="15.75" customHeight="1">
      <c r="A529" s="33">
        <v>45628.51210984954</v>
      </c>
      <c r="B529" s="34" t="s">
        <v>1201</v>
      </c>
      <c r="C529" s="34" t="s">
        <v>1173</v>
      </c>
      <c r="D529" s="34" t="s">
        <v>27</v>
      </c>
      <c r="E529" s="34" t="s">
        <v>1202</v>
      </c>
      <c r="F529" s="34">
        <v>1.0</v>
      </c>
      <c r="G529" s="34">
        <v>24.0</v>
      </c>
      <c r="H529" s="34" t="s">
        <v>29</v>
      </c>
      <c r="I529" s="34" t="s">
        <v>40</v>
      </c>
      <c r="L529" s="34" t="s">
        <v>31</v>
      </c>
      <c r="M529" s="35" t="s">
        <v>1203</v>
      </c>
      <c r="N529" s="37" t="s">
        <v>1204</v>
      </c>
      <c r="O529" s="34" t="s">
        <v>29</v>
      </c>
      <c r="P529" s="34">
        <v>16.0</v>
      </c>
      <c r="Q529" s="36"/>
      <c r="R529" s="36"/>
      <c r="S529" s="36"/>
    </row>
    <row r="530" ht="15.75" customHeight="1">
      <c r="A530" s="33">
        <v>45628.66355991898</v>
      </c>
      <c r="B530" s="34" t="s">
        <v>288</v>
      </c>
      <c r="C530" s="34" t="s">
        <v>1173</v>
      </c>
      <c r="D530" s="34" t="s">
        <v>119</v>
      </c>
      <c r="E530" s="34" t="s">
        <v>902</v>
      </c>
      <c r="F530" s="34">
        <v>1.0</v>
      </c>
      <c r="G530" s="34">
        <v>18.0</v>
      </c>
      <c r="H530" s="34" t="s">
        <v>29</v>
      </c>
      <c r="I530" s="34" t="s">
        <v>40</v>
      </c>
      <c r="M530" s="24"/>
      <c r="N530" s="37" t="s">
        <v>1205</v>
      </c>
      <c r="O530" s="34" t="s">
        <v>40</v>
      </c>
      <c r="P530" s="34">
        <v>16.0</v>
      </c>
      <c r="Q530" s="36"/>
      <c r="R530" s="36"/>
      <c r="S530" s="36"/>
    </row>
    <row r="531" ht="15.75" customHeight="1">
      <c r="A531" s="33">
        <v>45629.435778240746</v>
      </c>
      <c r="B531" s="34" t="s">
        <v>2</v>
      </c>
      <c r="C531" s="34" t="s">
        <v>1173</v>
      </c>
      <c r="D531" s="34" t="s">
        <v>27</v>
      </c>
      <c r="E531" s="34" t="s">
        <v>28</v>
      </c>
      <c r="F531" s="34">
        <v>1.0</v>
      </c>
      <c r="G531" s="34">
        <v>20.0</v>
      </c>
      <c r="H531" s="34" t="s">
        <v>29</v>
      </c>
      <c r="I531" s="34" t="s">
        <v>40</v>
      </c>
      <c r="J531" s="34" t="s">
        <v>1206</v>
      </c>
      <c r="L531" s="34" t="s">
        <v>436</v>
      </c>
      <c r="M531" s="35" t="s">
        <v>1207</v>
      </c>
      <c r="N531" s="24"/>
      <c r="O531" s="34" t="s">
        <v>29</v>
      </c>
      <c r="P531" s="34">
        <v>16.0</v>
      </c>
      <c r="Q531" s="36"/>
      <c r="R531" s="36"/>
      <c r="S531" s="36"/>
    </row>
    <row r="532" ht="15.75" customHeight="1">
      <c r="A532" s="33">
        <v>45631.21578337963</v>
      </c>
      <c r="B532" s="34" t="s">
        <v>2</v>
      </c>
      <c r="C532" s="34" t="s">
        <v>1034</v>
      </c>
      <c r="D532" s="34" t="s">
        <v>27</v>
      </c>
      <c r="E532" s="34" t="s">
        <v>199</v>
      </c>
      <c r="F532" s="34">
        <v>2.0</v>
      </c>
      <c r="G532" s="34">
        <v>64.0</v>
      </c>
      <c r="H532" s="34" t="s">
        <v>29</v>
      </c>
      <c r="I532" s="34" t="s">
        <v>40</v>
      </c>
      <c r="J532" s="34" t="s">
        <v>1208</v>
      </c>
      <c r="K532" s="34" t="s">
        <v>1209</v>
      </c>
      <c r="L532" s="34" t="s">
        <v>608</v>
      </c>
      <c r="M532" s="37" t="s">
        <v>609</v>
      </c>
      <c r="N532" s="24"/>
      <c r="O532" s="34" t="s">
        <v>29</v>
      </c>
      <c r="P532" s="34">
        <v>32.0</v>
      </c>
      <c r="Q532" s="36"/>
      <c r="R532" s="36"/>
      <c r="S532" s="36"/>
    </row>
    <row r="533" ht="15.75" customHeight="1">
      <c r="A533" s="33">
        <v>45632.16274641204</v>
      </c>
      <c r="B533" s="34" t="s">
        <v>465</v>
      </c>
      <c r="C533" s="34" t="s">
        <v>1173</v>
      </c>
      <c r="D533" s="34" t="s">
        <v>27</v>
      </c>
      <c r="E533" s="34" t="s">
        <v>329</v>
      </c>
      <c r="F533" s="34">
        <v>1.0</v>
      </c>
      <c r="G533" s="34">
        <v>10.0</v>
      </c>
      <c r="H533" s="34" t="s">
        <v>40</v>
      </c>
      <c r="I533" s="34" t="s">
        <v>40</v>
      </c>
      <c r="J533" s="34" t="s">
        <v>1210</v>
      </c>
      <c r="L533" s="34" t="s">
        <v>1211</v>
      </c>
      <c r="M533" s="35" t="s">
        <v>1212</v>
      </c>
      <c r="N533" s="24"/>
      <c r="O533" s="34" t="s">
        <v>40</v>
      </c>
      <c r="P533" s="34">
        <v>8.0</v>
      </c>
      <c r="Q533" s="36"/>
      <c r="R533" s="36"/>
      <c r="S533" s="36"/>
    </row>
    <row r="534" ht="15.75" customHeight="1">
      <c r="A534" s="33">
        <v>45632.452910300926</v>
      </c>
      <c r="B534" s="34" t="s">
        <v>124</v>
      </c>
      <c r="C534" s="34" t="s">
        <v>1173</v>
      </c>
      <c r="D534" s="34" t="s">
        <v>38</v>
      </c>
      <c r="E534" s="34" t="s">
        <v>400</v>
      </c>
      <c r="F534" s="34">
        <v>1.0</v>
      </c>
      <c r="G534" s="34">
        <v>18.0</v>
      </c>
      <c r="H534" s="34" t="s">
        <v>29</v>
      </c>
      <c r="I534" s="34" t="s">
        <v>40</v>
      </c>
      <c r="J534" s="34" t="s">
        <v>1213</v>
      </c>
      <c r="L534" s="34" t="s">
        <v>296</v>
      </c>
      <c r="M534" s="35" t="s">
        <v>297</v>
      </c>
      <c r="N534" s="37" t="s">
        <v>1214</v>
      </c>
      <c r="O534" s="34" t="s">
        <v>40</v>
      </c>
      <c r="P534" s="34">
        <v>16.0</v>
      </c>
      <c r="Q534" s="36"/>
      <c r="R534" s="36"/>
      <c r="S534" s="36"/>
    </row>
    <row r="535" ht="15.75" customHeight="1">
      <c r="A535" s="33">
        <v>45633.72312896991</v>
      </c>
      <c r="B535" s="34" t="s">
        <v>124</v>
      </c>
      <c r="C535" s="34" t="s">
        <v>1034</v>
      </c>
      <c r="D535" s="34" t="s">
        <v>27</v>
      </c>
      <c r="E535" s="34" t="s">
        <v>1215</v>
      </c>
      <c r="F535" s="34">
        <v>1.0</v>
      </c>
      <c r="G535" s="34">
        <v>10.0</v>
      </c>
      <c r="H535" s="34" t="s">
        <v>40</v>
      </c>
      <c r="M535" s="24"/>
      <c r="N535" s="24"/>
      <c r="O535" s="34" t="s">
        <v>40</v>
      </c>
      <c r="P535" s="34">
        <v>8.0</v>
      </c>
      <c r="Q535" s="36"/>
      <c r="R535" s="36"/>
      <c r="S535" s="36"/>
    </row>
    <row r="536" ht="15.75" customHeight="1">
      <c r="A536" s="33">
        <v>45634.42869944444</v>
      </c>
      <c r="B536" s="34" t="s">
        <v>124</v>
      </c>
      <c r="C536" s="34" t="s">
        <v>1173</v>
      </c>
      <c r="D536" s="34" t="s">
        <v>38</v>
      </c>
      <c r="E536" s="34" t="s">
        <v>57</v>
      </c>
      <c r="F536" s="34">
        <v>1.0</v>
      </c>
      <c r="G536" s="34">
        <v>5.0</v>
      </c>
      <c r="H536" s="34" t="s">
        <v>29</v>
      </c>
      <c r="I536" s="34" t="s">
        <v>40</v>
      </c>
      <c r="K536" s="34" t="s">
        <v>1216</v>
      </c>
      <c r="L536" s="34" t="s">
        <v>103</v>
      </c>
      <c r="M536" s="35" t="s">
        <v>122</v>
      </c>
      <c r="N536" s="24"/>
      <c r="O536" s="34" t="s">
        <v>40</v>
      </c>
      <c r="P536" s="34">
        <v>4.0</v>
      </c>
      <c r="Q536" s="34">
        <v>2666.0</v>
      </c>
      <c r="R536" s="34" t="s">
        <v>34</v>
      </c>
      <c r="S536" s="34" t="s">
        <v>1217</v>
      </c>
    </row>
    <row r="537" ht="15.75" customHeight="1">
      <c r="A537" s="33">
        <v>45634.61748859954</v>
      </c>
      <c r="B537" s="34" t="s">
        <v>82</v>
      </c>
      <c r="D537" s="34" t="s">
        <v>38</v>
      </c>
      <c r="E537" s="34" t="s">
        <v>634</v>
      </c>
      <c r="F537" s="34">
        <v>2.0</v>
      </c>
      <c r="G537" s="34">
        <v>16.0</v>
      </c>
      <c r="H537" s="34" t="s">
        <v>29</v>
      </c>
      <c r="I537" s="34" t="s">
        <v>40</v>
      </c>
      <c r="K537" s="34" t="s">
        <v>1218</v>
      </c>
      <c r="M537" s="24"/>
      <c r="N537" s="24"/>
      <c r="O537" s="34" t="s">
        <v>126</v>
      </c>
      <c r="P537" s="34">
        <v>8.0</v>
      </c>
      <c r="Q537" s="34">
        <v>1600.0</v>
      </c>
      <c r="R537" s="34" t="s">
        <v>1219</v>
      </c>
      <c r="S537" s="34" t="s">
        <v>1220</v>
      </c>
    </row>
    <row r="538" ht="15.75" customHeight="1">
      <c r="A538" s="33">
        <v>45634.656946435185</v>
      </c>
      <c r="B538" s="34" t="s">
        <v>465</v>
      </c>
      <c r="C538" s="34" t="s">
        <v>1173</v>
      </c>
      <c r="D538" s="34" t="s">
        <v>38</v>
      </c>
      <c r="E538" s="34" t="s">
        <v>153</v>
      </c>
      <c r="F538" s="34">
        <v>1.0</v>
      </c>
      <c r="G538" s="34">
        <v>10.0</v>
      </c>
      <c r="H538" s="34" t="s">
        <v>29</v>
      </c>
      <c r="I538" s="34" t="s">
        <v>40</v>
      </c>
      <c r="J538" s="34" t="s">
        <v>1221</v>
      </c>
      <c r="K538" s="34" t="s">
        <v>1222</v>
      </c>
      <c r="L538" s="34" t="s">
        <v>31</v>
      </c>
      <c r="M538" s="37" t="s">
        <v>260</v>
      </c>
      <c r="N538" s="24"/>
      <c r="O538" s="34" t="s">
        <v>126</v>
      </c>
      <c r="P538" s="34">
        <v>8.0</v>
      </c>
      <c r="Q538" s="34">
        <v>3200.0</v>
      </c>
      <c r="R538" s="34" t="s">
        <v>34</v>
      </c>
      <c r="S538" s="34" t="s">
        <v>1220</v>
      </c>
    </row>
    <row r="539" ht="15.75" customHeight="1">
      <c r="A539" s="33">
        <v>45634.775353749996</v>
      </c>
      <c r="B539" s="34" t="s">
        <v>465</v>
      </c>
      <c r="C539" s="39" t="s">
        <v>1173</v>
      </c>
      <c r="D539" s="34" t="s">
        <v>71</v>
      </c>
      <c r="E539" s="34" t="s">
        <v>940</v>
      </c>
      <c r="F539" s="34">
        <v>1.0</v>
      </c>
      <c r="G539" s="34">
        <v>18.0</v>
      </c>
      <c r="H539" s="34" t="s">
        <v>29</v>
      </c>
      <c r="I539" s="34" t="s">
        <v>40</v>
      </c>
      <c r="K539" s="34" t="s">
        <v>1223</v>
      </c>
      <c r="L539" s="34" t="s">
        <v>111</v>
      </c>
      <c r="M539" s="35" t="s">
        <v>50</v>
      </c>
      <c r="N539" s="37" t="s">
        <v>1224</v>
      </c>
      <c r="O539" s="34" t="s">
        <v>40</v>
      </c>
      <c r="P539" s="34">
        <v>16.0</v>
      </c>
      <c r="Q539" s="34">
        <v>2400.0</v>
      </c>
      <c r="R539" s="34" t="s">
        <v>34</v>
      </c>
      <c r="S539" s="34" t="s">
        <v>1225</v>
      </c>
    </row>
    <row r="540" ht="15.75" customHeight="1">
      <c r="A540" s="33">
        <v>45635.12951827546</v>
      </c>
      <c r="B540" s="34" t="s">
        <v>288</v>
      </c>
      <c r="C540" s="34" t="s">
        <v>1173</v>
      </c>
      <c r="D540" s="34" t="s">
        <v>922</v>
      </c>
      <c r="E540" s="34" t="s">
        <v>923</v>
      </c>
      <c r="F540" s="34">
        <v>1.0</v>
      </c>
      <c r="G540" s="34">
        <v>18.0</v>
      </c>
      <c r="H540" s="34" t="s">
        <v>40</v>
      </c>
      <c r="J540" s="34" t="s">
        <v>1226</v>
      </c>
      <c r="K540" s="34" t="s">
        <v>1227</v>
      </c>
      <c r="L540" s="34" t="s">
        <v>420</v>
      </c>
      <c r="M540" s="35" t="s">
        <v>421</v>
      </c>
      <c r="N540" s="24"/>
      <c r="O540" s="34" t="s">
        <v>40</v>
      </c>
      <c r="P540" s="34">
        <v>16.0</v>
      </c>
      <c r="Q540" s="34">
        <v>3200.0</v>
      </c>
      <c r="R540" s="34" t="s">
        <v>34</v>
      </c>
      <c r="S540" s="34" t="s">
        <v>1217</v>
      </c>
    </row>
    <row r="541" ht="15.75" customHeight="1">
      <c r="A541" s="33">
        <v>45635.3704315162</v>
      </c>
      <c r="B541" s="34" t="s">
        <v>1152</v>
      </c>
      <c r="C541" s="34" t="s">
        <v>1173</v>
      </c>
      <c r="D541" s="34" t="s">
        <v>101</v>
      </c>
      <c r="E541" s="34" t="s">
        <v>1228</v>
      </c>
      <c r="F541" s="34">
        <v>1.0</v>
      </c>
      <c r="G541" s="34">
        <v>8.0</v>
      </c>
      <c r="H541" s="34" t="s">
        <v>29</v>
      </c>
      <c r="I541" s="34" t="s">
        <v>40</v>
      </c>
      <c r="K541" s="34" t="s">
        <v>1155</v>
      </c>
      <c r="L541" s="34" t="s">
        <v>1156</v>
      </c>
      <c r="M541" s="37" t="s">
        <v>1157</v>
      </c>
      <c r="N541" s="24"/>
      <c r="O541" s="34" t="s">
        <v>40</v>
      </c>
      <c r="P541" s="34">
        <v>8.0</v>
      </c>
      <c r="Q541" s="34">
        <v>1600.0</v>
      </c>
      <c r="R541" s="34" t="s">
        <v>1219</v>
      </c>
      <c r="S541" s="34" t="s">
        <v>1225</v>
      </c>
    </row>
    <row r="542" ht="15.75" customHeight="1">
      <c r="A542" s="33">
        <v>45635.37181943287</v>
      </c>
      <c r="B542" s="34" t="s">
        <v>1152</v>
      </c>
      <c r="C542" s="34" t="s">
        <v>1173</v>
      </c>
      <c r="D542" s="34" t="s">
        <v>38</v>
      </c>
      <c r="E542" s="34" t="s">
        <v>1229</v>
      </c>
      <c r="F542" s="34">
        <v>1.0</v>
      </c>
      <c r="G542" s="34">
        <v>8.0</v>
      </c>
      <c r="H542" s="34" t="s">
        <v>29</v>
      </c>
      <c r="I542" s="34" t="s">
        <v>40</v>
      </c>
      <c r="K542" s="34" t="s">
        <v>1155</v>
      </c>
      <c r="L542" s="34" t="s">
        <v>1156</v>
      </c>
      <c r="M542" s="37" t="s">
        <v>1157</v>
      </c>
      <c r="N542" s="24"/>
      <c r="O542" s="34" t="s">
        <v>40</v>
      </c>
      <c r="P542" s="34">
        <v>8.0</v>
      </c>
      <c r="Q542" s="34">
        <v>1600.0</v>
      </c>
      <c r="R542" s="34" t="s">
        <v>1219</v>
      </c>
      <c r="S542" s="34" t="s">
        <v>1225</v>
      </c>
    </row>
    <row r="543" ht="15.75" customHeight="1">
      <c r="A543" s="33">
        <v>45636.07033599537</v>
      </c>
      <c r="B543" s="34" t="s">
        <v>1230</v>
      </c>
      <c r="C543" s="34" t="s">
        <v>841</v>
      </c>
      <c r="D543" s="34" t="s">
        <v>716</v>
      </c>
      <c r="E543" s="34" t="s">
        <v>1231</v>
      </c>
      <c r="F543" s="34">
        <v>2.0</v>
      </c>
      <c r="G543" s="34">
        <v>16.0</v>
      </c>
      <c r="H543" s="34" t="s">
        <v>29</v>
      </c>
      <c r="I543" s="34" t="s">
        <v>40</v>
      </c>
      <c r="K543" s="34" t="s">
        <v>1232</v>
      </c>
      <c r="L543" s="34" t="s">
        <v>111</v>
      </c>
      <c r="M543" s="35" t="s">
        <v>116</v>
      </c>
      <c r="N543" s="24"/>
      <c r="O543" s="34" t="s">
        <v>40</v>
      </c>
      <c r="P543" s="34">
        <v>8.0</v>
      </c>
      <c r="Q543" s="34">
        <v>1866.0</v>
      </c>
      <c r="R543" s="34" t="s">
        <v>1219</v>
      </c>
      <c r="S543" s="34" t="s">
        <v>1225</v>
      </c>
    </row>
    <row r="544" ht="15.75" customHeight="1">
      <c r="A544" s="33">
        <v>45636.1082603588</v>
      </c>
      <c r="B544" s="34" t="s">
        <v>465</v>
      </c>
      <c r="C544" s="34" t="s">
        <v>1173</v>
      </c>
      <c r="D544" s="34" t="s">
        <v>27</v>
      </c>
      <c r="E544" s="34" t="s">
        <v>529</v>
      </c>
      <c r="F544" s="34">
        <v>1.0</v>
      </c>
      <c r="G544" s="34">
        <v>18.0</v>
      </c>
      <c r="H544" s="34" t="s">
        <v>40</v>
      </c>
      <c r="K544" s="34" t="s">
        <v>1233</v>
      </c>
      <c r="M544" s="24"/>
      <c r="N544" s="24"/>
      <c r="O544" s="34" t="s">
        <v>40</v>
      </c>
      <c r="P544" s="34">
        <v>16.0</v>
      </c>
      <c r="Q544" s="34">
        <v>2666.0</v>
      </c>
      <c r="R544" s="34" t="s">
        <v>34</v>
      </c>
      <c r="S544" s="34" t="s">
        <v>1217</v>
      </c>
    </row>
    <row r="545" ht="15.75" customHeight="1">
      <c r="A545" s="33">
        <v>45636.71328494213</v>
      </c>
      <c r="B545" s="34" t="s">
        <v>1201</v>
      </c>
      <c r="C545" s="34" t="s">
        <v>1173</v>
      </c>
      <c r="D545" s="34" t="s">
        <v>27</v>
      </c>
      <c r="E545" s="34" t="s">
        <v>1202</v>
      </c>
      <c r="F545" s="34">
        <v>4.0</v>
      </c>
      <c r="G545" s="34">
        <v>64.0</v>
      </c>
      <c r="H545" s="34" t="s">
        <v>29</v>
      </c>
      <c r="I545" s="34" t="s">
        <v>40</v>
      </c>
      <c r="K545" s="34" t="s">
        <v>1234</v>
      </c>
      <c r="L545" s="34" t="s">
        <v>31</v>
      </c>
      <c r="M545" s="35" t="s">
        <v>872</v>
      </c>
      <c r="N545" s="37" t="s">
        <v>1235</v>
      </c>
      <c r="O545" s="34" t="s">
        <v>29</v>
      </c>
      <c r="P545" s="34">
        <v>16.0</v>
      </c>
      <c r="Q545" s="34">
        <v>2666.0</v>
      </c>
      <c r="R545" s="34" t="s">
        <v>34</v>
      </c>
      <c r="S545" s="34" t="s">
        <v>1225</v>
      </c>
    </row>
    <row r="546" ht="15.75" customHeight="1">
      <c r="A546" s="33">
        <v>45636.72957476852</v>
      </c>
      <c r="B546" s="34" t="s">
        <v>288</v>
      </c>
      <c r="C546" s="34" t="s">
        <v>1173</v>
      </c>
      <c r="D546" s="34" t="s">
        <v>119</v>
      </c>
      <c r="E546" s="34" t="s">
        <v>902</v>
      </c>
      <c r="F546" s="34">
        <v>1.0</v>
      </c>
      <c r="G546" s="34">
        <v>18.0</v>
      </c>
      <c r="H546" s="34" t="s">
        <v>40</v>
      </c>
      <c r="K546" s="34" t="s">
        <v>1236</v>
      </c>
      <c r="L546" s="34" t="s">
        <v>308</v>
      </c>
      <c r="M546" s="35" t="s">
        <v>421</v>
      </c>
      <c r="N546" s="24"/>
      <c r="O546" s="34" t="s">
        <v>126</v>
      </c>
      <c r="P546" s="34">
        <v>16.0</v>
      </c>
      <c r="Q546" s="34">
        <v>2400.0</v>
      </c>
      <c r="R546" s="34" t="s">
        <v>34</v>
      </c>
      <c r="S546" s="34" t="s">
        <v>1225</v>
      </c>
    </row>
    <row r="547" ht="15.75" customHeight="1">
      <c r="A547" s="33">
        <v>45637.7212271875</v>
      </c>
      <c r="B547" s="34" t="s">
        <v>42</v>
      </c>
      <c r="C547" s="34" t="s">
        <v>1173</v>
      </c>
      <c r="D547" s="34" t="s">
        <v>71</v>
      </c>
      <c r="E547" s="34" t="s">
        <v>161</v>
      </c>
      <c r="F547" s="34">
        <v>2.0</v>
      </c>
      <c r="G547" s="34">
        <v>32.0</v>
      </c>
      <c r="H547" s="34" t="s">
        <v>29</v>
      </c>
      <c r="I547" s="34" t="s">
        <v>40</v>
      </c>
      <c r="J547" s="34" t="s">
        <v>1237</v>
      </c>
      <c r="K547" s="34" t="s">
        <v>1238</v>
      </c>
      <c r="L547" s="34" t="s">
        <v>136</v>
      </c>
      <c r="M547" s="37" t="s">
        <v>210</v>
      </c>
      <c r="N547" s="37" t="s">
        <v>1239</v>
      </c>
      <c r="O547" s="34" t="s">
        <v>29</v>
      </c>
      <c r="P547" s="34">
        <v>16.0</v>
      </c>
      <c r="Q547" s="34">
        <v>2666.0</v>
      </c>
      <c r="R547" s="34" t="s">
        <v>34</v>
      </c>
      <c r="S547" s="34" t="s">
        <v>1225</v>
      </c>
    </row>
    <row r="548" ht="15.75" customHeight="1">
      <c r="A548" s="33">
        <v>45638.39821223379</v>
      </c>
      <c r="B548" s="34" t="s">
        <v>465</v>
      </c>
      <c r="C548" s="34" t="s">
        <v>1173</v>
      </c>
      <c r="D548" s="34" t="s">
        <v>1026</v>
      </c>
      <c r="E548" s="34" t="s">
        <v>1240</v>
      </c>
      <c r="F548" s="34">
        <v>1.0</v>
      </c>
      <c r="G548" s="34">
        <v>18.0</v>
      </c>
      <c r="H548" s="34" t="s">
        <v>29</v>
      </c>
      <c r="I548" s="34" t="s">
        <v>40</v>
      </c>
      <c r="K548" s="34" t="s">
        <v>516</v>
      </c>
      <c r="L548" s="34" t="s">
        <v>436</v>
      </c>
      <c r="M548" s="24"/>
      <c r="N548" s="24"/>
      <c r="O548" s="34" t="s">
        <v>40</v>
      </c>
      <c r="P548" s="34">
        <v>16.0</v>
      </c>
      <c r="Q548" s="34">
        <v>2666.0</v>
      </c>
      <c r="R548" s="34" t="s">
        <v>34</v>
      </c>
      <c r="S548" s="34" t="s">
        <v>1220</v>
      </c>
    </row>
    <row r="549" ht="15.75" customHeight="1">
      <c r="A549" s="33">
        <v>45638.61241104167</v>
      </c>
      <c r="B549" s="34" t="s">
        <v>465</v>
      </c>
      <c r="C549" s="34" t="s">
        <v>1173</v>
      </c>
      <c r="D549" s="34" t="s">
        <v>119</v>
      </c>
      <c r="E549" s="34" t="s">
        <v>473</v>
      </c>
      <c r="F549" s="34">
        <v>1.0</v>
      </c>
      <c r="G549" s="34">
        <v>18.0</v>
      </c>
      <c r="H549" s="34" t="s">
        <v>29</v>
      </c>
      <c r="I549" s="34" t="s">
        <v>40</v>
      </c>
      <c r="K549" s="34" t="s">
        <v>1241</v>
      </c>
      <c r="L549" s="34" t="s">
        <v>436</v>
      </c>
      <c r="M549" s="35" t="s">
        <v>1242</v>
      </c>
      <c r="N549" s="37" t="s">
        <v>1243</v>
      </c>
      <c r="O549" s="34" t="s">
        <v>40</v>
      </c>
      <c r="P549" s="34">
        <v>16.0</v>
      </c>
      <c r="Q549" s="34">
        <v>2666.0</v>
      </c>
      <c r="R549" s="34" t="s">
        <v>34</v>
      </c>
      <c r="S549" s="34" t="s">
        <v>1217</v>
      </c>
    </row>
    <row r="550" ht="15.75" customHeight="1">
      <c r="A550" s="33">
        <v>45643.26714628472</v>
      </c>
      <c r="B550" s="34" t="s">
        <v>465</v>
      </c>
      <c r="C550" s="34" t="s">
        <v>1173</v>
      </c>
      <c r="D550" s="34" t="s">
        <v>27</v>
      </c>
      <c r="E550" s="34" t="s">
        <v>329</v>
      </c>
      <c r="G550" s="34">
        <v>10.0</v>
      </c>
      <c r="H550" s="34" t="s">
        <v>29</v>
      </c>
      <c r="I550" s="34" t="s">
        <v>40</v>
      </c>
      <c r="K550" s="34" t="s">
        <v>1244</v>
      </c>
      <c r="L550" s="34" t="s">
        <v>1156</v>
      </c>
      <c r="M550" s="24"/>
      <c r="N550" s="24"/>
      <c r="O550" s="34" t="s">
        <v>126</v>
      </c>
      <c r="P550" s="34">
        <v>8.0</v>
      </c>
      <c r="Q550" s="34">
        <v>2666.0</v>
      </c>
      <c r="R550" s="34" t="s">
        <v>34</v>
      </c>
      <c r="S550" s="34" t="s">
        <v>1220</v>
      </c>
    </row>
    <row r="551" ht="15.75" customHeight="1">
      <c r="A551" s="33">
        <v>45643.36452461805</v>
      </c>
      <c r="B551" s="34" t="s">
        <v>288</v>
      </c>
      <c r="C551" s="34" t="s">
        <v>1173</v>
      </c>
      <c r="D551" s="34" t="s">
        <v>71</v>
      </c>
      <c r="E551" s="34" t="s">
        <v>345</v>
      </c>
      <c r="F551" s="34">
        <v>1.0</v>
      </c>
      <c r="G551" s="34">
        <v>18.0</v>
      </c>
      <c r="H551" s="34" t="s">
        <v>29</v>
      </c>
      <c r="I551" s="34" t="s">
        <v>40</v>
      </c>
      <c r="J551" s="34" t="s">
        <v>1245</v>
      </c>
      <c r="K551" s="34" t="s">
        <v>1246</v>
      </c>
      <c r="L551" s="34" t="s">
        <v>186</v>
      </c>
      <c r="M551" s="35" t="s">
        <v>399</v>
      </c>
      <c r="N551" s="37" t="s">
        <v>1247</v>
      </c>
      <c r="O551" s="34" t="s">
        <v>40</v>
      </c>
      <c r="P551" s="34">
        <v>16.0</v>
      </c>
      <c r="Q551" s="34">
        <v>2666.0</v>
      </c>
      <c r="R551" s="34" t="s">
        <v>34</v>
      </c>
      <c r="S551" s="34" t="s">
        <v>1225</v>
      </c>
    </row>
    <row r="552" ht="15.75" customHeight="1">
      <c r="A552" s="33">
        <v>45644.707244074074</v>
      </c>
      <c r="B552" s="34" t="s">
        <v>138</v>
      </c>
      <c r="D552" s="34" t="s">
        <v>1248</v>
      </c>
      <c r="E552" s="34" t="s">
        <v>1249</v>
      </c>
      <c r="F552" s="34">
        <v>2.0</v>
      </c>
      <c r="G552" s="34">
        <v>32.0</v>
      </c>
      <c r="H552" s="34" t="s">
        <v>29</v>
      </c>
      <c r="I552" s="34" t="s">
        <v>40</v>
      </c>
      <c r="K552" s="34" t="s">
        <v>1250</v>
      </c>
      <c r="L552" s="34" t="s">
        <v>510</v>
      </c>
      <c r="M552" s="37" t="s">
        <v>1251</v>
      </c>
      <c r="N552" s="37" t="s">
        <v>1252</v>
      </c>
      <c r="O552" s="34" t="s">
        <v>40</v>
      </c>
      <c r="P552" s="34">
        <v>16.0</v>
      </c>
      <c r="Q552" s="34">
        <v>3200.0</v>
      </c>
      <c r="R552" s="34" t="s">
        <v>34</v>
      </c>
      <c r="S552" s="34" t="s">
        <v>1225</v>
      </c>
    </row>
    <row r="553" ht="15.75" customHeight="1">
      <c r="A553" s="33">
        <v>45644.75808197916</v>
      </c>
      <c r="B553" s="34" t="s">
        <v>465</v>
      </c>
      <c r="C553" s="34" t="s">
        <v>1173</v>
      </c>
      <c r="D553" s="34" t="s">
        <v>71</v>
      </c>
      <c r="E553" s="34" t="s">
        <v>345</v>
      </c>
      <c r="F553" s="34">
        <v>1.0</v>
      </c>
      <c r="G553" s="34">
        <v>18.0</v>
      </c>
      <c r="H553" s="34" t="s">
        <v>29</v>
      </c>
      <c r="I553" s="34" t="s">
        <v>40</v>
      </c>
      <c r="K553" s="34" t="s">
        <v>1253</v>
      </c>
      <c r="L553" s="34" t="s">
        <v>93</v>
      </c>
      <c r="M553" s="35" t="s">
        <v>225</v>
      </c>
      <c r="N553" s="24"/>
      <c r="O553" s="34" t="s">
        <v>40</v>
      </c>
      <c r="P553" s="34">
        <v>16.0</v>
      </c>
      <c r="Q553" s="34">
        <v>2666.0</v>
      </c>
      <c r="R553" s="34" t="s">
        <v>34</v>
      </c>
      <c r="S553" s="34" t="s">
        <v>1225</v>
      </c>
    </row>
    <row r="554" ht="15.75" customHeight="1">
      <c r="A554" s="33">
        <v>45644.882354664354</v>
      </c>
      <c r="B554" s="34" t="s">
        <v>36</v>
      </c>
      <c r="C554" s="34" t="s">
        <v>1173</v>
      </c>
      <c r="D554" s="34" t="s">
        <v>119</v>
      </c>
      <c r="E554" s="34" t="s">
        <v>120</v>
      </c>
      <c r="F554" s="34">
        <v>1.0</v>
      </c>
      <c r="G554" s="34">
        <v>20.0</v>
      </c>
      <c r="H554" s="34" t="s">
        <v>40</v>
      </c>
      <c r="I554" s="34" t="s">
        <v>40</v>
      </c>
      <c r="K554" s="34" t="s">
        <v>1254</v>
      </c>
      <c r="L554" s="34" t="s">
        <v>611</v>
      </c>
      <c r="M554" s="37" t="s">
        <v>1255</v>
      </c>
      <c r="N554" s="24"/>
      <c r="O554" s="34" t="s">
        <v>40</v>
      </c>
      <c r="P554" s="34">
        <v>16.0</v>
      </c>
      <c r="Q554" s="34">
        <v>2666.0</v>
      </c>
      <c r="R554" s="34" t="s">
        <v>34</v>
      </c>
      <c r="S554" s="34" t="s">
        <v>1225</v>
      </c>
    </row>
    <row r="555" ht="15.75" customHeight="1">
      <c r="A555" s="33">
        <v>45645.84351853009</v>
      </c>
      <c r="B555" s="34" t="s">
        <v>465</v>
      </c>
      <c r="C555" s="34" t="s">
        <v>1173</v>
      </c>
      <c r="D555" s="34" t="s">
        <v>922</v>
      </c>
      <c r="E555" s="34" t="s">
        <v>923</v>
      </c>
      <c r="F555" s="34">
        <v>1.0</v>
      </c>
      <c r="G555" s="34">
        <v>18.0</v>
      </c>
      <c r="H555" s="34" t="s">
        <v>29</v>
      </c>
      <c r="I555" s="34" t="s">
        <v>40</v>
      </c>
      <c r="J555" s="34" t="s">
        <v>1256</v>
      </c>
      <c r="K555" s="34" t="s">
        <v>1257</v>
      </c>
      <c r="L555" s="34" t="s">
        <v>103</v>
      </c>
      <c r="M555" s="35" t="s">
        <v>122</v>
      </c>
      <c r="N555" s="37" t="s">
        <v>1258</v>
      </c>
      <c r="O555" s="34" t="s">
        <v>40</v>
      </c>
      <c r="P555" s="34">
        <v>16.0</v>
      </c>
      <c r="Q555" s="34">
        <v>3200.0</v>
      </c>
      <c r="R555" s="34" t="s">
        <v>34</v>
      </c>
      <c r="S555" s="34" t="s">
        <v>1217</v>
      </c>
    </row>
    <row r="556" ht="15.75" customHeight="1">
      <c r="A556" s="33">
        <v>45647.06784694444</v>
      </c>
      <c r="B556" s="34" t="s">
        <v>45</v>
      </c>
      <c r="C556" s="34" t="s">
        <v>1173</v>
      </c>
      <c r="D556" s="34" t="s">
        <v>1259</v>
      </c>
      <c r="E556" s="34" t="s">
        <v>133</v>
      </c>
      <c r="F556" s="34">
        <v>2.0</v>
      </c>
      <c r="G556" s="34">
        <v>32.0</v>
      </c>
      <c r="H556" s="34" t="s">
        <v>29</v>
      </c>
      <c r="I556" s="34" t="s">
        <v>40</v>
      </c>
      <c r="J556" s="34" t="s">
        <v>1260</v>
      </c>
      <c r="K556" s="34" t="s">
        <v>1261</v>
      </c>
      <c r="L556" s="34" t="s">
        <v>111</v>
      </c>
      <c r="M556" s="35" t="s">
        <v>106</v>
      </c>
      <c r="N556" s="24"/>
      <c r="O556" s="34" t="s">
        <v>29</v>
      </c>
      <c r="P556" s="34">
        <v>16.0</v>
      </c>
      <c r="Q556" s="34">
        <v>2666.0</v>
      </c>
      <c r="R556" s="34" t="s">
        <v>34</v>
      </c>
      <c r="S556" s="34" t="s">
        <v>1225</v>
      </c>
    </row>
    <row r="557" ht="15.75" customHeight="1">
      <c r="A557" s="33">
        <v>45647.08359337963</v>
      </c>
      <c r="B557" s="34" t="s">
        <v>99</v>
      </c>
      <c r="C557" s="34" t="s">
        <v>1173</v>
      </c>
      <c r="D557" s="34" t="s">
        <v>1259</v>
      </c>
      <c r="E557" s="34" t="s">
        <v>133</v>
      </c>
      <c r="F557" s="34">
        <v>2.0</v>
      </c>
      <c r="G557" s="34">
        <v>32.0</v>
      </c>
      <c r="H557" s="34" t="s">
        <v>40</v>
      </c>
      <c r="J557" s="34" t="s">
        <v>1262</v>
      </c>
      <c r="K557" s="34" t="s">
        <v>1261</v>
      </c>
      <c r="L557" s="34" t="s">
        <v>111</v>
      </c>
      <c r="M557" s="35" t="s">
        <v>106</v>
      </c>
      <c r="N557" s="24"/>
      <c r="O557" s="34" t="s">
        <v>29</v>
      </c>
      <c r="P557" s="34">
        <v>16.0</v>
      </c>
      <c r="Q557" s="34">
        <v>2666.0</v>
      </c>
      <c r="R557" s="34" t="s">
        <v>34</v>
      </c>
      <c r="S557" s="34" t="s">
        <v>1225</v>
      </c>
    </row>
    <row r="558" ht="15.75" customHeight="1">
      <c r="A558" s="33">
        <v>45647.62944803241</v>
      </c>
      <c r="B558" s="34" t="s">
        <v>465</v>
      </c>
      <c r="D558" s="34" t="s">
        <v>38</v>
      </c>
      <c r="E558" s="34" t="s">
        <v>400</v>
      </c>
      <c r="F558" s="34">
        <v>1.0</v>
      </c>
      <c r="G558" s="34">
        <v>18.0</v>
      </c>
      <c r="H558" s="34" t="s">
        <v>29</v>
      </c>
      <c r="I558" s="34" t="s">
        <v>40</v>
      </c>
      <c r="K558" s="34" t="s">
        <v>1263</v>
      </c>
      <c r="L558" s="34" t="s">
        <v>103</v>
      </c>
      <c r="M558" s="35" t="s">
        <v>122</v>
      </c>
      <c r="N558" s="24"/>
      <c r="O558" s="34" t="s">
        <v>126</v>
      </c>
      <c r="P558" s="34">
        <v>16.0</v>
      </c>
      <c r="Q558" s="34">
        <v>2400.0</v>
      </c>
      <c r="R558" s="34" t="s">
        <v>34</v>
      </c>
      <c r="S558" s="34" t="s">
        <v>1225</v>
      </c>
    </row>
    <row r="559" ht="15.75" customHeight="1">
      <c r="A559" s="33">
        <v>45648.53925552084</v>
      </c>
      <c r="B559" s="34" t="s">
        <v>465</v>
      </c>
      <c r="C559" s="34" t="s">
        <v>1173</v>
      </c>
      <c r="D559" s="34" t="s">
        <v>27</v>
      </c>
      <c r="E559" s="34" t="s">
        <v>529</v>
      </c>
      <c r="F559" s="34">
        <v>1.0</v>
      </c>
      <c r="G559" s="34">
        <v>18.0</v>
      </c>
      <c r="H559" s="34" t="s">
        <v>40</v>
      </c>
      <c r="J559" s="34" t="s">
        <v>1264</v>
      </c>
      <c r="K559" s="34" t="s">
        <v>1265</v>
      </c>
      <c r="L559" s="34" t="s">
        <v>103</v>
      </c>
      <c r="M559" s="35" t="s">
        <v>1266</v>
      </c>
      <c r="N559" s="24"/>
      <c r="O559" s="34" t="s">
        <v>40</v>
      </c>
      <c r="P559" s="34">
        <v>16.0</v>
      </c>
      <c r="Q559" s="34">
        <v>2666.0</v>
      </c>
      <c r="R559" s="34" t="s">
        <v>34</v>
      </c>
      <c r="S559" s="34" t="s">
        <v>1217</v>
      </c>
    </row>
    <row r="560" ht="15.75" customHeight="1">
      <c r="A560" s="33">
        <v>45648.55760519676</v>
      </c>
      <c r="B560" s="34" t="s">
        <v>465</v>
      </c>
      <c r="C560" s="34" t="s">
        <v>1173</v>
      </c>
      <c r="D560" s="34" t="s">
        <v>38</v>
      </c>
      <c r="E560" s="34" t="s">
        <v>1267</v>
      </c>
      <c r="F560" s="34">
        <v>1.0</v>
      </c>
      <c r="G560" s="34">
        <v>10.0</v>
      </c>
      <c r="H560" s="34" t="s">
        <v>29</v>
      </c>
      <c r="I560" s="34" t="s">
        <v>40</v>
      </c>
      <c r="K560" s="34" t="s">
        <v>1265</v>
      </c>
      <c r="L560" s="34" t="s">
        <v>103</v>
      </c>
      <c r="M560" s="35" t="s">
        <v>1268</v>
      </c>
      <c r="N560" s="24"/>
      <c r="O560" s="34" t="s">
        <v>40</v>
      </c>
      <c r="P560" s="34">
        <v>8.0</v>
      </c>
      <c r="Q560" s="34">
        <v>2400.0</v>
      </c>
      <c r="R560" s="34" t="s">
        <v>34</v>
      </c>
    </row>
    <row r="561" ht="15.75" customHeight="1">
      <c r="A561" s="33">
        <v>45649.60116559028</v>
      </c>
      <c r="B561" s="34" t="s">
        <v>61</v>
      </c>
      <c r="C561" s="34" t="s">
        <v>1269</v>
      </c>
      <c r="D561" s="34" t="s">
        <v>38</v>
      </c>
      <c r="E561" s="34" t="s">
        <v>1270</v>
      </c>
      <c r="F561" s="34">
        <v>2.0</v>
      </c>
      <c r="G561" s="34">
        <v>16.0</v>
      </c>
      <c r="H561" s="34" t="s">
        <v>40</v>
      </c>
      <c r="I561" s="34" t="s">
        <v>40</v>
      </c>
      <c r="K561" s="34" t="s">
        <v>1271</v>
      </c>
      <c r="M561" s="24"/>
      <c r="N561" s="24"/>
      <c r="O561" s="34" t="s">
        <v>40</v>
      </c>
      <c r="P561" s="34">
        <v>8.0</v>
      </c>
      <c r="Q561" s="34">
        <v>1866.0</v>
      </c>
      <c r="R561" s="34" t="s">
        <v>1219</v>
      </c>
      <c r="S561" s="34" t="s">
        <v>1220</v>
      </c>
    </row>
    <row r="562" ht="15.75" customHeight="1">
      <c r="A562" s="33">
        <v>45649.830753159724</v>
      </c>
      <c r="B562" s="34" t="s">
        <v>1272</v>
      </c>
      <c r="C562" s="34" t="s">
        <v>1173</v>
      </c>
      <c r="D562" s="34" t="s">
        <v>27</v>
      </c>
      <c r="E562" s="34" t="s">
        <v>329</v>
      </c>
      <c r="F562" s="34">
        <v>1.0</v>
      </c>
      <c r="G562" s="34">
        <v>10.0</v>
      </c>
      <c r="H562" s="34" t="s">
        <v>29</v>
      </c>
      <c r="I562" s="34" t="s">
        <v>40</v>
      </c>
      <c r="K562" s="34" t="s">
        <v>1273</v>
      </c>
      <c r="M562" s="24"/>
      <c r="N562" s="24"/>
      <c r="O562" s="34" t="s">
        <v>40</v>
      </c>
      <c r="P562" s="34">
        <v>8.0</v>
      </c>
      <c r="Q562" s="34">
        <v>2666.0</v>
      </c>
      <c r="R562" s="34" t="s">
        <v>34</v>
      </c>
      <c r="S562" s="34" t="s">
        <v>1217</v>
      </c>
    </row>
    <row r="563" ht="15.75" customHeight="1">
      <c r="A563" s="33">
        <v>45650.234176157406</v>
      </c>
      <c r="B563" s="34" t="s">
        <v>1274</v>
      </c>
      <c r="C563" s="34" t="s">
        <v>1275</v>
      </c>
      <c r="D563" s="34" t="s">
        <v>1276</v>
      </c>
      <c r="E563" s="34" t="s">
        <v>1277</v>
      </c>
      <c r="F563" s="34">
        <v>2.0</v>
      </c>
      <c r="G563" s="34">
        <v>16.0</v>
      </c>
      <c r="H563" s="34" t="s">
        <v>29</v>
      </c>
      <c r="I563" s="34" t="s">
        <v>40</v>
      </c>
      <c r="K563" s="34" t="s">
        <v>1278</v>
      </c>
      <c r="L563" s="34" t="s">
        <v>1279</v>
      </c>
      <c r="M563" s="37" t="s">
        <v>1157</v>
      </c>
      <c r="N563" s="24"/>
      <c r="O563" s="34" t="s">
        <v>40</v>
      </c>
      <c r="P563" s="34">
        <v>8.0</v>
      </c>
      <c r="Q563" s="34">
        <v>1600.0</v>
      </c>
      <c r="R563" s="34" t="s">
        <v>1219</v>
      </c>
      <c r="S563" s="34" t="s">
        <v>1225</v>
      </c>
    </row>
    <row r="564" ht="15.75" customHeight="1">
      <c r="A564" s="33">
        <v>45650.677946655094</v>
      </c>
      <c r="B564" s="34" t="s">
        <v>2</v>
      </c>
      <c r="C564" s="34" t="s">
        <v>1173</v>
      </c>
      <c r="D564" s="34" t="s">
        <v>47</v>
      </c>
      <c r="E564" s="34" t="s">
        <v>165</v>
      </c>
      <c r="F564" s="34">
        <v>2.0</v>
      </c>
      <c r="G564" s="34">
        <v>32.0</v>
      </c>
      <c r="H564" s="34" t="s">
        <v>29</v>
      </c>
      <c r="I564" s="34" t="s">
        <v>40</v>
      </c>
      <c r="J564" s="34" t="s">
        <v>1280</v>
      </c>
      <c r="K564" s="34" t="s">
        <v>1281</v>
      </c>
      <c r="L564" s="34" t="s">
        <v>111</v>
      </c>
      <c r="M564" s="35" t="s">
        <v>50</v>
      </c>
      <c r="N564" s="24"/>
      <c r="O564" s="34" t="s">
        <v>29</v>
      </c>
      <c r="P564" s="34">
        <v>16.0</v>
      </c>
      <c r="Q564" s="34">
        <v>2666.0</v>
      </c>
      <c r="R564" s="34" t="s">
        <v>34</v>
      </c>
      <c r="S564" s="34" t="s">
        <v>1225</v>
      </c>
    </row>
    <row r="565" ht="15.75" customHeight="1">
      <c r="A565" s="33">
        <v>45650.85514251157</v>
      </c>
      <c r="B565" s="34" t="s">
        <v>298</v>
      </c>
      <c r="C565" s="34" t="s">
        <v>1173</v>
      </c>
      <c r="D565" s="34" t="s">
        <v>789</v>
      </c>
      <c r="E565" s="34" t="s">
        <v>1282</v>
      </c>
      <c r="F565" s="34">
        <v>1.0</v>
      </c>
      <c r="G565" s="34">
        <v>16.0</v>
      </c>
      <c r="H565" s="34" t="s">
        <v>29</v>
      </c>
      <c r="I565" s="34" t="s">
        <v>40</v>
      </c>
      <c r="K565" s="34" t="s">
        <v>1265</v>
      </c>
      <c r="L565" s="34" t="s">
        <v>103</v>
      </c>
      <c r="M565" s="24"/>
      <c r="N565" s="24"/>
      <c r="O565" s="34" t="s">
        <v>40</v>
      </c>
      <c r="P565" s="34">
        <v>16.0</v>
      </c>
      <c r="Q565" s="34">
        <v>1600.0</v>
      </c>
      <c r="R565" s="34" t="s">
        <v>1219</v>
      </c>
    </row>
    <row r="566" ht="15.75" customHeight="1">
      <c r="A566" s="33">
        <v>45651.43303035879</v>
      </c>
      <c r="B566" s="34" t="s">
        <v>2</v>
      </c>
      <c r="C566" s="34" t="s">
        <v>1173</v>
      </c>
      <c r="D566" s="34" t="s">
        <v>27</v>
      </c>
      <c r="E566" s="34" t="s">
        <v>28</v>
      </c>
      <c r="F566" s="34">
        <v>2.0</v>
      </c>
      <c r="G566" s="34">
        <v>32.0</v>
      </c>
      <c r="H566" s="34" t="s">
        <v>29</v>
      </c>
      <c r="I566" s="34" t="s">
        <v>40</v>
      </c>
      <c r="K566" s="34" t="s">
        <v>1283</v>
      </c>
      <c r="L566" s="34" t="s">
        <v>331</v>
      </c>
      <c r="M566" s="35" t="s">
        <v>361</v>
      </c>
      <c r="N566" s="24"/>
      <c r="O566" s="34" t="s">
        <v>29</v>
      </c>
      <c r="P566" s="34">
        <v>16.0</v>
      </c>
      <c r="Q566" s="34">
        <v>2666.0</v>
      </c>
      <c r="R566" s="34" t="s">
        <v>34</v>
      </c>
      <c r="S566" s="34" t="s">
        <v>1225</v>
      </c>
    </row>
    <row r="567" ht="15.75" customHeight="1">
      <c r="A567" s="33">
        <v>45651.94528829861</v>
      </c>
      <c r="B567" s="34" t="s">
        <v>288</v>
      </c>
      <c r="C567" s="34" t="s">
        <v>1173</v>
      </c>
      <c r="D567" s="34" t="s">
        <v>1284</v>
      </c>
      <c r="E567" s="34" t="s">
        <v>212</v>
      </c>
      <c r="F567" s="34">
        <v>1.0</v>
      </c>
      <c r="G567" s="34">
        <v>18.0</v>
      </c>
      <c r="H567" s="34" t="s">
        <v>29</v>
      </c>
      <c r="I567" s="34" t="s">
        <v>40</v>
      </c>
      <c r="K567" s="34" t="s">
        <v>1285</v>
      </c>
      <c r="L567" s="34" t="s">
        <v>436</v>
      </c>
      <c r="M567" s="35" t="s">
        <v>1207</v>
      </c>
      <c r="N567" s="24"/>
      <c r="P567" s="34">
        <v>16.0</v>
      </c>
      <c r="R567" s="34" t="s">
        <v>34</v>
      </c>
      <c r="S567" s="34" t="s">
        <v>1225</v>
      </c>
    </row>
    <row r="568" ht="15.75" customHeight="1">
      <c r="A568" s="33">
        <v>45652.015192962965</v>
      </c>
      <c r="B568" s="34" t="s">
        <v>288</v>
      </c>
      <c r="C568" s="34" t="s">
        <v>1173</v>
      </c>
      <c r="D568" s="34" t="s">
        <v>119</v>
      </c>
      <c r="E568" s="34" t="s">
        <v>120</v>
      </c>
      <c r="F568" s="34">
        <v>1.0</v>
      </c>
      <c r="G568" s="34">
        <v>10.0</v>
      </c>
      <c r="H568" s="34" t="s">
        <v>29</v>
      </c>
      <c r="I568" s="34" t="s">
        <v>40</v>
      </c>
      <c r="J568" s="34" t="s">
        <v>1286</v>
      </c>
      <c r="K568" s="34" t="s">
        <v>1287</v>
      </c>
      <c r="L568" s="34" t="s">
        <v>186</v>
      </c>
      <c r="M568" s="37" t="s">
        <v>885</v>
      </c>
      <c r="N568" s="24"/>
      <c r="O568" s="34" t="s">
        <v>40</v>
      </c>
      <c r="P568" s="34">
        <v>8.0</v>
      </c>
      <c r="Q568" s="34">
        <v>2666.0</v>
      </c>
      <c r="R568" s="34" t="s">
        <v>34</v>
      </c>
      <c r="S568" s="34" t="s">
        <v>1220</v>
      </c>
    </row>
    <row r="569" ht="15.75" customHeight="1">
      <c r="A569" s="33">
        <v>45653.53176378472</v>
      </c>
      <c r="B569" s="34" t="s">
        <v>465</v>
      </c>
      <c r="C569" s="34" t="s">
        <v>1173</v>
      </c>
      <c r="D569" s="34" t="s">
        <v>976</v>
      </c>
      <c r="E569" s="34" t="s">
        <v>977</v>
      </c>
      <c r="F569" s="34">
        <v>1.0</v>
      </c>
      <c r="G569" s="34">
        <v>10.0</v>
      </c>
      <c r="H569" s="34" t="s">
        <v>29</v>
      </c>
      <c r="I569" s="34" t="s">
        <v>40</v>
      </c>
      <c r="K569" s="34" t="s">
        <v>1288</v>
      </c>
      <c r="M569" s="24"/>
      <c r="N569" s="24"/>
      <c r="O569" s="34" t="s">
        <v>40</v>
      </c>
      <c r="P569" s="34">
        <v>8.0</v>
      </c>
      <c r="Q569" s="34">
        <v>2666.0</v>
      </c>
      <c r="R569" s="34" t="s">
        <v>34</v>
      </c>
      <c r="S569" s="34" t="s">
        <v>1220</v>
      </c>
    </row>
    <row r="570" ht="15.75" customHeight="1">
      <c r="A570" s="33">
        <v>45653.65776288194</v>
      </c>
      <c r="B570" s="34" t="s">
        <v>61</v>
      </c>
      <c r="C570" s="34" t="s">
        <v>1269</v>
      </c>
      <c r="D570" s="34" t="s">
        <v>27</v>
      </c>
      <c r="E570" s="34" t="s">
        <v>1153</v>
      </c>
      <c r="F570" s="34">
        <v>2.0</v>
      </c>
      <c r="G570" s="34">
        <v>16.0</v>
      </c>
      <c r="H570" s="34" t="s">
        <v>29</v>
      </c>
      <c r="I570" s="34" t="s">
        <v>40</v>
      </c>
      <c r="K570" s="34" t="s">
        <v>1271</v>
      </c>
      <c r="M570" s="24"/>
      <c r="N570" s="37" t="s">
        <v>1289</v>
      </c>
      <c r="O570" s="34" t="s">
        <v>40</v>
      </c>
      <c r="P570" s="34">
        <v>8.0</v>
      </c>
      <c r="Q570" s="34">
        <v>1600.0</v>
      </c>
      <c r="R570" s="34" t="s">
        <v>1219</v>
      </c>
      <c r="S570" s="34" t="s">
        <v>1220</v>
      </c>
    </row>
    <row r="571" ht="15.75" customHeight="1">
      <c r="A571" s="33">
        <v>45656.07021179398</v>
      </c>
      <c r="B571" s="34" t="s">
        <v>465</v>
      </c>
      <c r="D571" s="34" t="s">
        <v>38</v>
      </c>
      <c r="E571" s="34" t="s">
        <v>400</v>
      </c>
      <c r="F571" s="34">
        <v>1.0</v>
      </c>
      <c r="G571" s="34">
        <v>18.0</v>
      </c>
      <c r="H571" s="34" t="s">
        <v>29</v>
      </c>
      <c r="I571" s="34" t="s">
        <v>40</v>
      </c>
      <c r="J571" s="34" t="s">
        <v>1290</v>
      </c>
      <c r="K571" s="34" t="s">
        <v>1291</v>
      </c>
      <c r="L571" s="34" t="s">
        <v>186</v>
      </c>
      <c r="M571" s="37" t="s">
        <v>210</v>
      </c>
      <c r="N571" s="24"/>
      <c r="O571" s="34" t="s">
        <v>40</v>
      </c>
      <c r="P571" s="34">
        <v>16.0</v>
      </c>
      <c r="Q571" s="34">
        <v>2400.0</v>
      </c>
      <c r="R571" s="34" t="s">
        <v>34</v>
      </c>
      <c r="S571" s="34" t="s">
        <v>1220</v>
      </c>
    </row>
    <row r="572" ht="15.75" customHeight="1">
      <c r="A572" s="33">
        <v>45657.43492403935</v>
      </c>
      <c r="B572" s="34" t="s">
        <v>1292</v>
      </c>
      <c r="C572" s="34" t="s">
        <v>1173</v>
      </c>
      <c r="D572" s="34" t="s">
        <v>119</v>
      </c>
      <c r="E572" s="34" t="s">
        <v>1293</v>
      </c>
      <c r="F572" s="34">
        <v>2.0</v>
      </c>
      <c r="G572" s="34">
        <v>10.0</v>
      </c>
      <c r="H572" s="34" t="s">
        <v>29</v>
      </c>
      <c r="I572" s="34" t="s">
        <v>40</v>
      </c>
      <c r="J572" s="34" t="s">
        <v>1294</v>
      </c>
      <c r="K572" s="34" t="s">
        <v>1295</v>
      </c>
      <c r="L572" s="34" t="s">
        <v>1211</v>
      </c>
      <c r="M572" s="37" t="s">
        <v>1296</v>
      </c>
      <c r="N572" s="37" t="s">
        <v>1297</v>
      </c>
      <c r="O572" s="34" t="s">
        <v>40</v>
      </c>
      <c r="P572" s="34">
        <v>8.0</v>
      </c>
      <c r="Q572" s="34">
        <v>2666.0</v>
      </c>
      <c r="R572" s="34" t="s">
        <v>34</v>
      </c>
      <c r="S572" s="34" t="s">
        <v>1225</v>
      </c>
    </row>
    <row r="573" ht="15.75" customHeight="1">
      <c r="A573" s="33">
        <v>45657.613731631944</v>
      </c>
      <c r="B573" s="34" t="s">
        <v>465</v>
      </c>
      <c r="C573" s="34" t="s">
        <v>1173</v>
      </c>
      <c r="D573" s="34" t="s">
        <v>71</v>
      </c>
      <c r="E573" s="34" t="s">
        <v>345</v>
      </c>
      <c r="F573" s="34">
        <v>1.0</v>
      </c>
      <c r="G573" s="34">
        <v>18.0</v>
      </c>
      <c r="H573" s="34" t="s">
        <v>29</v>
      </c>
      <c r="I573" s="34" t="s">
        <v>40</v>
      </c>
      <c r="J573" s="34"/>
      <c r="K573" s="34" t="s">
        <v>1298</v>
      </c>
      <c r="L573" s="34" t="s">
        <v>420</v>
      </c>
      <c r="M573" s="35" t="s">
        <v>421</v>
      </c>
      <c r="N573" s="24"/>
      <c r="O573" s="34" t="s">
        <v>40</v>
      </c>
      <c r="P573" s="34">
        <v>16.0</v>
      </c>
      <c r="Q573" s="34">
        <v>2666.0</v>
      </c>
      <c r="R573" s="34" t="s">
        <v>34</v>
      </c>
      <c r="S573" s="34" t="s">
        <v>1225</v>
      </c>
    </row>
    <row r="574" ht="15.75" customHeight="1">
      <c r="A574" s="33">
        <v>45657.70341614583</v>
      </c>
      <c r="B574" s="34" t="s">
        <v>465</v>
      </c>
      <c r="C574" s="34" t="s">
        <v>1173</v>
      </c>
      <c r="D574" s="34" t="s">
        <v>27</v>
      </c>
      <c r="E574" s="34" t="s">
        <v>212</v>
      </c>
      <c r="F574" s="34">
        <v>1.0</v>
      </c>
      <c r="G574" s="34">
        <v>18.0</v>
      </c>
      <c r="H574" s="34" t="s">
        <v>40</v>
      </c>
      <c r="K574" s="34" t="s">
        <v>1299</v>
      </c>
      <c r="M574" s="24"/>
      <c r="N574" s="24"/>
      <c r="O574" s="34" t="s">
        <v>126</v>
      </c>
      <c r="P574" s="34">
        <v>16.0</v>
      </c>
      <c r="Q574" s="34">
        <v>2666.0</v>
      </c>
      <c r="R574" s="34" t="s">
        <v>34</v>
      </c>
      <c r="S574" s="34" t="s">
        <v>1220</v>
      </c>
    </row>
    <row r="575" ht="15.75" customHeight="1">
      <c r="A575" s="33">
        <v>45657.764103333335</v>
      </c>
      <c r="B575" s="34" t="s">
        <v>124</v>
      </c>
      <c r="C575" s="34" t="s">
        <v>1173</v>
      </c>
      <c r="D575" s="34" t="s">
        <v>27</v>
      </c>
      <c r="E575" s="34" t="s">
        <v>810</v>
      </c>
      <c r="F575" s="34">
        <v>1.0</v>
      </c>
      <c r="G575" s="34">
        <v>18.0</v>
      </c>
      <c r="H575" s="34" t="s">
        <v>29</v>
      </c>
      <c r="I575" s="34" t="s">
        <v>40</v>
      </c>
      <c r="K575" s="34" t="s">
        <v>1300</v>
      </c>
      <c r="M575" s="24"/>
      <c r="N575" s="24"/>
      <c r="O575" s="34" t="s">
        <v>126</v>
      </c>
      <c r="P575" s="34">
        <v>16.0</v>
      </c>
      <c r="Q575" s="34">
        <v>2666.0</v>
      </c>
      <c r="R575" s="34" t="s">
        <v>34</v>
      </c>
      <c r="S575" s="34" t="s">
        <v>1220</v>
      </c>
    </row>
    <row r="576" ht="15.75" customHeight="1">
      <c r="A576" s="33">
        <v>45658.83536827547</v>
      </c>
      <c r="B576" s="34" t="s">
        <v>2</v>
      </c>
      <c r="C576" s="34" t="s">
        <v>1173</v>
      </c>
      <c r="D576" s="34" t="s">
        <v>27</v>
      </c>
      <c r="E576" s="34" t="s">
        <v>28</v>
      </c>
      <c r="F576" s="34">
        <v>2.0</v>
      </c>
      <c r="G576" s="34">
        <v>32.0</v>
      </c>
      <c r="H576" s="34" t="s">
        <v>29</v>
      </c>
      <c r="I576" s="34" t="s">
        <v>40</v>
      </c>
      <c r="J576" s="34" t="s">
        <v>1301</v>
      </c>
      <c r="K576" s="34" t="s">
        <v>1302</v>
      </c>
      <c r="L576" s="34" t="s">
        <v>31</v>
      </c>
      <c r="M576" s="37" t="s">
        <v>1303</v>
      </c>
      <c r="N576" s="24"/>
      <c r="O576" s="34" t="s">
        <v>40</v>
      </c>
      <c r="P576" s="34">
        <v>16.0</v>
      </c>
      <c r="Q576" s="34">
        <v>2666.0</v>
      </c>
      <c r="R576" s="34" t="s">
        <v>34</v>
      </c>
      <c r="S576" s="34" t="s">
        <v>1225</v>
      </c>
    </row>
    <row r="577" ht="15.75" customHeight="1">
      <c r="A577" s="33">
        <v>45659.88115035879</v>
      </c>
      <c r="B577" s="34" t="s">
        <v>465</v>
      </c>
      <c r="C577" s="34" t="s">
        <v>1173</v>
      </c>
      <c r="D577" s="34" t="s">
        <v>38</v>
      </c>
      <c r="E577" s="34" t="s">
        <v>368</v>
      </c>
      <c r="F577" s="34">
        <v>1.0</v>
      </c>
      <c r="G577" s="34">
        <v>18.0</v>
      </c>
      <c r="H577" s="34" t="s">
        <v>40</v>
      </c>
      <c r="I577" s="34" t="s">
        <v>40</v>
      </c>
      <c r="K577" s="34" t="s">
        <v>1304</v>
      </c>
      <c r="L577" s="34" t="s">
        <v>1305</v>
      </c>
      <c r="M577" s="37" t="s">
        <v>1306</v>
      </c>
      <c r="N577" s="24"/>
      <c r="P577" s="34">
        <v>16.0</v>
      </c>
      <c r="Q577" s="34">
        <v>3200.0</v>
      </c>
      <c r="R577" s="34" t="s">
        <v>34</v>
      </c>
      <c r="S577" s="34" t="s">
        <v>1217</v>
      </c>
    </row>
    <row r="578" ht="15.75" customHeight="1">
      <c r="A578" s="33">
        <v>45660.64042694445</v>
      </c>
      <c r="B578" s="34" t="s">
        <v>99</v>
      </c>
      <c r="C578" s="34" t="s">
        <v>1173</v>
      </c>
      <c r="D578" s="34" t="s">
        <v>38</v>
      </c>
      <c r="E578" s="34" t="s">
        <v>389</v>
      </c>
      <c r="F578" s="34">
        <v>2.0</v>
      </c>
      <c r="G578" s="34">
        <v>32.0</v>
      </c>
      <c r="H578" s="34" t="s">
        <v>40</v>
      </c>
      <c r="I578" s="34" t="s">
        <v>40</v>
      </c>
      <c r="J578" s="34" t="s">
        <v>1307</v>
      </c>
      <c r="K578" s="34" t="s">
        <v>1308</v>
      </c>
      <c r="L578" s="34" t="s">
        <v>111</v>
      </c>
      <c r="M578" s="35" t="s">
        <v>50</v>
      </c>
      <c r="N578" s="24"/>
      <c r="O578" s="34" t="s">
        <v>40</v>
      </c>
      <c r="P578" s="34">
        <v>32.0</v>
      </c>
      <c r="Q578" s="34">
        <v>3200.0</v>
      </c>
      <c r="R578" s="34" t="s">
        <v>34</v>
      </c>
      <c r="S578" s="34" t="s">
        <v>1225</v>
      </c>
    </row>
    <row r="579" ht="15.75" customHeight="1">
      <c r="A579" s="33">
        <v>45660.72410575231</v>
      </c>
      <c r="B579" s="34" t="s">
        <v>288</v>
      </c>
      <c r="D579" s="34" t="s">
        <v>119</v>
      </c>
      <c r="E579" s="34" t="s">
        <v>902</v>
      </c>
      <c r="F579" s="34">
        <v>1.0</v>
      </c>
      <c r="G579" s="34">
        <v>18.0</v>
      </c>
      <c r="H579" s="34" t="s">
        <v>40</v>
      </c>
      <c r="I579" s="34" t="s">
        <v>40</v>
      </c>
      <c r="J579" s="34" t="s">
        <v>1309</v>
      </c>
      <c r="K579" s="34" t="s">
        <v>1310</v>
      </c>
      <c r="L579" s="34" t="s">
        <v>103</v>
      </c>
      <c r="M579" s="35" t="s">
        <v>1311</v>
      </c>
      <c r="N579" s="24"/>
      <c r="O579" s="34" t="s">
        <v>40</v>
      </c>
      <c r="P579" s="34">
        <v>16.0</v>
      </c>
      <c r="Q579" s="34">
        <v>2400.0</v>
      </c>
      <c r="R579" s="34" t="s">
        <v>34</v>
      </c>
      <c r="S579" s="34" t="s">
        <v>1225</v>
      </c>
    </row>
    <row r="580" ht="15.75" customHeight="1">
      <c r="A580" s="33">
        <v>45660.72703648148</v>
      </c>
      <c r="B580" s="34" t="s">
        <v>288</v>
      </c>
      <c r="D580" s="34" t="s">
        <v>27</v>
      </c>
      <c r="E580" s="34" t="s">
        <v>1312</v>
      </c>
      <c r="F580" s="34">
        <v>1.0</v>
      </c>
      <c r="G580" s="34">
        <v>18.0</v>
      </c>
      <c r="H580" s="34" t="s">
        <v>40</v>
      </c>
      <c r="I580" s="34" t="s">
        <v>40</v>
      </c>
      <c r="J580" s="34" t="s">
        <v>1313</v>
      </c>
      <c r="K580" s="34" t="s">
        <v>1310</v>
      </c>
      <c r="L580" s="34" t="s">
        <v>1314</v>
      </c>
      <c r="M580" s="35" t="s">
        <v>1311</v>
      </c>
      <c r="N580" s="24"/>
      <c r="O580" s="34" t="s">
        <v>40</v>
      </c>
      <c r="P580" s="34">
        <v>16.0</v>
      </c>
      <c r="Q580" s="34">
        <v>3200.0</v>
      </c>
      <c r="R580" s="34" t="s">
        <v>34</v>
      </c>
      <c r="S580" s="34" t="s">
        <v>1217</v>
      </c>
    </row>
    <row r="581" ht="15.75" customHeight="1">
      <c r="A581" s="33">
        <v>45661.900540243056</v>
      </c>
      <c r="B581" s="34" t="s">
        <v>294</v>
      </c>
      <c r="C581" s="34" t="s">
        <v>1173</v>
      </c>
      <c r="D581" s="34" t="s">
        <v>38</v>
      </c>
      <c r="E581" s="34" t="s">
        <v>59</v>
      </c>
      <c r="F581" s="34">
        <v>1.0</v>
      </c>
      <c r="G581" s="34">
        <v>20.0</v>
      </c>
      <c r="H581" s="34" t="s">
        <v>40</v>
      </c>
      <c r="I581" s="34" t="s">
        <v>40</v>
      </c>
      <c r="K581" s="34" t="s">
        <v>1302</v>
      </c>
      <c r="L581" s="34" t="s">
        <v>111</v>
      </c>
      <c r="M581" s="37" t="s">
        <v>210</v>
      </c>
      <c r="N581" s="24"/>
      <c r="O581" s="34" t="s">
        <v>40</v>
      </c>
      <c r="P581" s="34">
        <v>16.0</v>
      </c>
      <c r="Q581" s="34">
        <v>2666.0</v>
      </c>
      <c r="R581" s="34" t="s">
        <v>34</v>
      </c>
      <c r="S581" s="34" t="s">
        <v>1220</v>
      </c>
    </row>
    <row r="582" ht="15.75" customHeight="1">
      <c r="A582" s="33">
        <v>45661.95284115741</v>
      </c>
      <c r="B582" s="34" t="s">
        <v>288</v>
      </c>
      <c r="C582" s="34" t="s">
        <v>1034</v>
      </c>
      <c r="D582" s="34" t="s">
        <v>107</v>
      </c>
      <c r="E582" s="34" t="s">
        <v>447</v>
      </c>
      <c r="F582" s="34">
        <v>1.0</v>
      </c>
      <c r="G582" s="34">
        <v>18.0</v>
      </c>
      <c r="H582" s="34" t="s">
        <v>29</v>
      </c>
      <c r="I582" s="34" t="s">
        <v>40</v>
      </c>
      <c r="J582" s="34" t="s">
        <v>1315</v>
      </c>
      <c r="K582" s="34" t="s">
        <v>1316</v>
      </c>
      <c r="L582" s="34" t="s">
        <v>111</v>
      </c>
      <c r="M582" s="37" t="s">
        <v>1317</v>
      </c>
      <c r="N582" s="24"/>
      <c r="O582" s="34" t="s">
        <v>40</v>
      </c>
      <c r="P582" s="34">
        <v>16.0</v>
      </c>
      <c r="Q582" s="34">
        <v>2400.0</v>
      </c>
      <c r="R582" s="34" t="s">
        <v>34</v>
      </c>
      <c r="S582" s="34" t="s">
        <v>1225</v>
      </c>
    </row>
    <row r="583" ht="15.75" customHeight="1">
      <c r="A583" s="33">
        <v>45663.41610670139</v>
      </c>
      <c r="B583" s="34" t="s">
        <v>138</v>
      </c>
      <c r="C583" s="34" t="s">
        <v>1173</v>
      </c>
      <c r="D583" s="34" t="s">
        <v>71</v>
      </c>
      <c r="E583" s="34" t="s">
        <v>1318</v>
      </c>
      <c r="F583" s="34">
        <v>2.0</v>
      </c>
      <c r="G583" s="34">
        <v>32.0</v>
      </c>
      <c r="H583" s="34" t="s">
        <v>29</v>
      </c>
      <c r="I583" s="34" t="s">
        <v>40</v>
      </c>
      <c r="K583" s="34" t="s">
        <v>1319</v>
      </c>
      <c r="L583" s="34" t="s">
        <v>219</v>
      </c>
      <c r="M583" s="35" t="s">
        <v>1320</v>
      </c>
      <c r="N583" s="24"/>
      <c r="O583" s="34" t="s">
        <v>29</v>
      </c>
      <c r="P583" s="34">
        <v>16.0</v>
      </c>
      <c r="Q583" s="34">
        <v>2666.0</v>
      </c>
      <c r="R583" s="34" t="s">
        <v>34</v>
      </c>
      <c r="S583" s="34" t="s">
        <v>1225</v>
      </c>
    </row>
    <row r="584" ht="15.75" customHeight="1">
      <c r="A584" s="33">
        <v>45665.187957118054</v>
      </c>
      <c r="B584" s="34" t="s">
        <v>465</v>
      </c>
      <c r="C584" s="34" t="s">
        <v>1173</v>
      </c>
      <c r="D584" s="34" t="s">
        <v>38</v>
      </c>
      <c r="E584" s="34" t="s">
        <v>153</v>
      </c>
      <c r="F584" s="34">
        <v>1.0</v>
      </c>
      <c r="G584" s="34">
        <v>10.0</v>
      </c>
      <c r="H584" s="34" t="s">
        <v>29</v>
      </c>
      <c r="I584" s="34" t="s">
        <v>40</v>
      </c>
      <c r="J584" s="34" t="s">
        <v>1321</v>
      </c>
      <c r="K584" s="34" t="s">
        <v>1322</v>
      </c>
      <c r="L584" s="34" t="s">
        <v>111</v>
      </c>
      <c r="M584" s="35" t="s">
        <v>50</v>
      </c>
      <c r="N584" s="24"/>
      <c r="O584" s="34" t="s">
        <v>40</v>
      </c>
      <c r="P584" s="34">
        <v>8.0</v>
      </c>
      <c r="Q584" s="34">
        <v>3200.0</v>
      </c>
      <c r="R584" s="34" t="s">
        <v>34</v>
      </c>
      <c r="S584" s="34" t="s">
        <v>1220</v>
      </c>
    </row>
    <row r="585" ht="15.75" customHeight="1">
      <c r="A585" s="33">
        <v>45665.50782917824</v>
      </c>
      <c r="B585" s="34" t="s">
        <v>36</v>
      </c>
      <c r="C585" s="34" t="s">
        <v>1173</v>
      </c>
      <c r="D585" s="34" t="s">
        <v>107</v>
      </c>
      <c r="E585" s="34" t="s">
        <v>289</v>
      </c>
      <c r="F585" s="34">
        <v>1.0</v>
      </c>
      <c r="G585" s="34">
        <v>12.0</v>
      </c>
      <c r="H585" s="34" t="s">
        <v>29</v>
      </c>
      <c r="I585" s="34" t="s">
        <v>40</v>
      </c>
      <c r="K585" s="34" t="s">
        <v>1299</v>
      </c>
      <c r="M585" s="37" t="s">
        <v>1323</v>
      </c>
      <c r="N585" s="24"/>
      <c r="O585" s="34" t="s">
        <v>40</v>
      </c>
      <c r="P585" s="34">
        <v>8.0</v>
      </c>
      <c r="Q585" s="34">
        <v>2400.0</v>
      </c>
      <c r="R585" s="34" t="s">
        <v>34</v>
      </c>
    </row>
    <row r="586" ht="15.75" customHeight="1">
      <c r="A586" s="33">
        <v>45665.96856450231</v>
      </c>
      <c r="B586" s="34" t="s">
        <v>118</v>
      </c>
      <c r="C586" s="34" t="s">
        <v>1324</v>
      </c>
      <c r="D586" s="34" t="s">
        <v>71</v>
      </c>
      <c r="E586" s="34" t="s">
        <v>345</v>
      </c>
      <c r="F586" s="34">
        <v>1.0</v>
      </c>
      <c r="H586" s="34" t="s">
        <v>40</v>
      </c>
      <c r="J586" s="34" t="s">
        <v>1325</v>
      </c>
      <c r="K586" s="34" t="s">
        <v>1326</v>
      </c>
      <c r="L586" s="34" t="s">
        <v>111</v>
      </c>
      <c r="M586" s="35" t="s">
        <v>50</v>
      </c>
      <c r="N586" s="24"/>
      <c r="O586" s="34" t="s">
        <v>40</v>
      </c>
      <c r="P586" s="34">
        <v>16.0</v>
      </c>
      <c r="Q586" s="34">
        <v>2666.0</v>
      </c>
      <c r="R586" s="34" t="s">
        <v>34</v>
      </c>
      <c r="S586" s="34" t="s">
        <v>1225</v>
      </c>
    </row>
    <row r="587" ht="15.75" customHeight="1">
      <c r="A587" s="33">
        <v>45666.505704525465</v>
      </c>
      <c r="B587" s="34" t="s">
        <v>1327</v>
      </c>
      <c r="C587" s="34" t="s">
        <v>1173</v>
      </c>
      <c r="D587" s="34" t="s">
        <v>27</v>
      </c>
      <c r="E587" s="34" t="s">
        <v>329</v>
      </c>
      <c r="F587" s="34">
        <v>1.0</v>
      </c>
      <c r="G587" s="34">
        <v>10.0</v>
      </c>
      <c r="H587" s="34" t="s">
        <v>29</v>
      </c>
      <c r="I587" s="34" t="s">
        <v>40</v>
      </c>
      <c r="K587" s="34" t="s">
        <v>1328</v>
      </c>
      <c r="L587" s="34" t="s">
        <v>31</v>
      </c>
      <c r="M587" s="37" t="s">
        <v>210</v>
      </c>
      <c r="N587" s="24"/>
      <c r="O587" s="34" t="s">
        <v>40</v>
      </c>
      <c r="P587" s="34">
        <v>8.0</v>
      </c>
      <c r="Q587" s="34">
        <v>2666.0</v>
      </c>
      <c r="R587" s="34" t="s">
        <v>34</v>
      </c>
      <c r="S587" s="34" t="s">
        <v>1217</v>
      </c>
    </row>
    <row r="588" ht="15.75" customHeight="1">
      <c r="A588" s="33">
        <v>45666.622063449075</v>
      </c>
      <c r="B588" s="34" t="s">
        <v>465</v>
      </c>
      <c r="C588" s="34" t="s">
        <v>1173</v>
      </c>
      <c r="D588" s="34" t="s">
        <v>671</v>
      </c>
      <c r="E588" s="34" t="s">
        <v>718</v>
      </c>
      <c r="F588" s="34">
        <v>1.0</v>
      </c>
      <c r="G588" s="34">
        <v>18.0</v>
      </c>
      <c r="H588" s="34" t="s">
        <v>29</v>
      </c>
      <c r="I588" s="34" t="s">
        <v>40</v>
      </c>
      <c r="J588" s="34" t="s">
        <v>1329</v>
      </c>
      <c r="K588" s="34" t="s">
        <v>1330</v>
      </c>
      <c r="L588" s="34" t="s">
        <v>31</v>
      </c>
      <c r="M588" s="35" t="s">
        <v>487</v>
      </c>
      <c r="N588" s="24"/>
      <c r="O588" s="34" t="s">
        <v>40</v>
      </c>
      <c r="P588" s="34">
        <v>16.0</v>
      </c>
      <c r="Q588" s="34">
        <v>2666.0</v>
      </c>
      <c r="R588" s="34" t="s">
        <v>34</v>
      </c>
      <c r="S588" s="34" t="s">
        <v>1220</v>
      </c>
    </row>
    <row r="589" ht="15.75" customHeight="1">
      <c r="A589" s="33">
        <v>45667.588449849536</v>
      </c>
      <c r="B589" s="34" t="s">
        <v>66</v>
      </c>
      <c r="C589" s="34" t="s">
        <v>1173</v>
      </c>
      <c r="D589" s="34" t="s">
        <v>38</v>
      </c>
      <c r="E589" s="34" t="s">
        <v>59</v>
      </c>
      <c r="F589" s="34">
        <v>1.0</v>
      </c>
      <c r="G589" s="34">
        <v>18.0</v>
      </c>
      <c r="H589" s="34" t="s">
        <v>40</v>
      </c>
      <c r="I589" s="34" t="s">
        <v>40</v>
      </c>
      <c r="K589" s="34" t="s">
        <v>1331</v>
      </c>
      <c r="L589" s="34" t="s">
        <v>111</v>
      </c>
      <c r="M589" s="35" t="s">
        <v>116</v>
      </c>
      <c r="N589" s="24"/>
      <c r="O589" s="34" t="s">
        <v>40</v>
      </c>
      <c r="P589" s="34">
        <v>16.0</v>
      </c>
      <c r="Q589" s="34">
        <v>2666.0</v>
      </c>
      <c r="R589" s="34" t="s">
        <v>34</v>
      </c>
      <c r="S589" s="34" t="s">
        <v>1220</v>
      </c>
    </row>
    <row r="590" ht="15.75" customHeight="1">
      <c r="A590" s="33">
        <v>45669.56012782408</v>
      </c>
      <c r="B590" s="34" t="s">
        <v>294</v>
      </c>
      <c r="C590" s="34" t="s">
        <v>1173</v>
      </c>
      <c r="D590" s="34" t="s">
        <v>38</v>
      </c>
      <c r="E590" s="34" t="s">
        <v>39</v>
      </c>
      <c r="F590" s="34">
        <v>1.0</v>
      </c>
      <c r="G590" s="34">
        <v>20.0</v>
      </c>
      <c r="H590" s="34" t="s">
        <v>29</v>
      </c>
      <c r="I590" s="34" t="s">
        <v>40</v>
      </c>
      <c r="J590" s="34" t="s">
        <v>1332</v>
      </c>
      <c r="K590" s="34" t="s">
        <v>1302</v>
      </c>
      <c r="L590" s="34" t="s">
        <v>111</v>
      </c>
      <c r="M590" s="37" t="s">
        <v>210</v>
      </c>
      <c r="N590" s="24"/>
      <c r="O590" s="34" t="s">
        <v>40</v>
      </c>
      <c r="P590" s="34">
        <v>16.0</v>
      </c>
      <c r="Q590" s="34">
        <v>2666.0</v>
      </c>
      <c r="R590" s="34" t="s">
        <v>34</v>
      </c>
      <c r="S590" s="34" t="s">
        <v>1220</v>
      </c>
    </row>
    <row r="591" ht="15.75" customHeight="1">
      <c r="A591" s="33">
        <v>45670.32945981481</v>
      </c>
      <c r="B591" s="34" t="s">
        <v>465</v>
      </c>
      <c r="C591" s="34" t="s">
        <v>1034</v>
      </c>
      <c r="D591" s="34" t="s">
        <v>38</v>
      </c>
      <c r="E591" s="34" t="s">
        <v>1333</v>
      </c>
      <c r="F591" s="34">
        <v>1.0</v>
      </c>
      <c r="G591" s="34">
        <v>18.0</v>
      </c>
      <c r="H591" s="34" t="s">
        <v>29</v>
      </c>
      <c r="I591" s="34" t="s">
        <v>40</v>
      </c>
      <c r="J591" s="34" t="s">
        <v>1334</v>
      </c>
      <c r="K591" s="34" t="s">
        <v>1335</v>
      </c>
      <c r="L591" s="34" t="s">
        <v>103</v>
      </c>
      <c r="M591" s="35" t="s">
        <v>50</v>
      </c>
      <c r="N591" s="37">
        <v>3.2</v>
      </c>
      <c r="O591" s="34" t="s">
        <v>126</v>
      </c>
      <c r="P591" s="34">
        <v>16.0</v>
      </c>
      <c r="Q591" s="34">
        <v>2400.0</v>
      </c>
      <c r="R591" s="34" t="s">
        <v>34</v>
      </c>
      <c r="S591" s="34" t="s">
        <v>1225</v>
      </c>
    </row>
    <row r="592" ht="15.75" customHeight="1">
      <c r="A592" s="33">
        <v>45671.962657662036</v>
      </c>
      <c r="B592" s="34" t="s">
        <v>66</v>
      </c>
      <c r="C592" s="34" t="s">
        <v>1336</v>
      </c>
      <c r="D592" s="34" t="s">
        <v>119</v>
      </c>
      <c r="E592" s="34" t="s">
        <v>665</v>
      </c>
      <c r="F592" s="34">
        <v>1.0</v>
      </c>
      <c r="G592" s="34">
        <v>18.0</v>
      </c>
      <c r="H592" s="34" t="s">
        <v>29</v>
      </c>
      <c r="I592" s="34" t="s">
        <v>40</v>
      </c>
      <c r="K592" s="34" t="s">
        <v>1331</v>
      </c>
      <c r="L592" s="34" t="s">
        <v>111</v>
      </c>
      <c r="M592" s="35" t="s">
        <v>116</v>
      </c>
      <c r="N592" s="37" t="s">
        <v>1337</v>
      </c>
      <c r="O592" s="34" t="s">
        <v>40</v>
      </c>
      <c r="P592" s="34">
        <v>16.0</v>
      </c>
      <c r="Q592" s="34">
        <v>3200.0</v>
      </c>
      <c r="R592" s="34" t="s">
        <v>34</v>
      </c>
      <c r="S592" s="34" t="s">
        <v>1220</v>
      </c>
    </row>
    <row r="593" ht="15.75" customHeight="1">
      <c r="A593" s="33">
        <v>45672.55793319445</v>
      </c>
      <c r="B593" s="34" t="s">
        <v>1338</v>
      </c>
      <c r="C593" s="34" t="s">
        <v>1173</v>
      </c>
      <c r="D593" s="34" t="s">
        <v>71</v>
      </c>
      <c r="E593" s="34" t="s">
        <v>345</v>
      </c>
      <c r="F593" s="34">
        <v>1.0</v>
      </c>
      <c r="G593" s="34">
        <v>20.0</v>
      </c>
      <c r="H593" s="34" t="s">
        <v>29</v>
      </c>
      <c r="I593" s="34" t="s">
        <v>40</v>
      </c>
      <c r="K593" s="34" t="s">
        <v>1339</v>
      </c>
      <c r="L593" s="34" t="s">
        <v>140</v>
      </c>
      <c r="M593" s="35" t="s">
        <v>335</v>
      </c>
      <c r="N593" s="24"/>
      <c r="O593" s="34" t="s">
        <v>40</v>
      </c>
      <c r="P593" s="34">
        <v>16.0</v>
      </c>
      <c r="Q593" s="34">
        <v>2666.0</v>
      </c>
      <c r="R593" s="34" t="s">
        <v>34</v>
      </c>
      <c r="S593" s="34" t="s">
        <v>1225</v>
      </c>
    </row>
    <row r="594" ht="15.75" customHeight="1">
      <c r="A594" s="33">
        <v>45673.32049292824</v>
      </c>
      <c r="B594" s="34" t="s">
        <v>298</v>
      </c>
      <c r="C594" s="34" t="s">
        <v>1324</v>
      </c>
      <c r="D594" s="34" t="s">
        <v>119</v>
      </c>
      <c r="E594" s="34" t="s">
        <v>1340</v>
      </c>
      <c r="F594" s="34">
        <v>2.0</v>
      </c>
      <c r="G594" s="34">
        <v>8.0</v>
      </c>
      <c r="H594" s="34" t="s">
        <v>29</v>
      </c>
      <c r="I594" s="34" t="s">
        <v>29</v>
      </c>
      <c r="K594" s="34" t="s">
        <v>1341</v>
      </c>
      <c r="M594" s="24"/>
      <c r="N594" s="24"/>
      <c r="O594" s="34" t="s">
        <v>40</v>
      </c>
      <c r="P594" s="34">
        <v>4.0</v>
      </c>
      <c r="Q594" s="34">
        <v>1600.0</v>
      </c>
      <c r="R594" s="34" t="s">
        <v>1219</v>
      </c>
      <c r="S594" s="34" t="s">
        <v>1225</v>
      </c>
    </row>
    <row r="595" ht="15.75" customHeight="1">
      <c r="A595" s="33">
        <v>45673.48905616898</v>
      </c>
      <c r="B595" s="34" t="s">
        <v>288</v>
      </c>
      <c r="C595" s="34" t="s">
        <v>1173</v>
      </c>
      <c r="D595" s="34" t="s">
        <v>27</v>
      </c>
      <c r="E595" s="34" t="s">
        <v>529</v>
      </c>
      <c r="F595" s="34">
        <v>1.0</v>
      </c>
      <c r="G595" s="34">
        <v>18.0</v>
      </c>
      <c r="H595" s="34" t="s">
        <v>40</v>
      </c>
      <c r="I595" s="34" t="s">
        <v>40</v>
      </c>
      <c r="J595" s="34" t="s">
        <v>1342</v>
      </c>
      <c r="K595" s="34" t="s">
        <v>1343</v>
      </c>
      <c r="L595" s="34" t="s">
        <v>1279</v>
      </c>
      <c r="M595" s="35" t="s">
        <v>1344</v>
      </c>
      <c r="N595" s="24"/>
      <c r="O595" s="34" t="s">
        <v>40</v>
      </c>
      <c r="P595" s="34">
        <v>16.0</v>
      </c>
      <c r="Q595" s="34">
        <v>2666.0</v>
      </c>
      <c r="R595" s="34" t="s">
        <v>34</v>
      </c>
      <c r="S595" s="34" t="s">
        <v>1217</v>
      </c>
    </row>
    <row r="596" ht="15.75" customHeight="1">
      <c r="A596" s="33">
        <v>45673.66595896991</v>
      </c>
      <c r="B596" s="34" t="s">
        <v>169</v>
      </c>
      <c r="C596" s="34" t="s">
        <v>1345</v>
      </c>
      <c r="D596" s="34" t="s">
        <v>565</v>
      </c>
      <c r="E596" s="34" t="s">
        <v>1346</v>
      </c>
      <c r="F596" s="34">
        <v>2.0</v>
      </c>
      <c r="G596" s="34">
        <v>64.0</v>
      </c>
      <c r="H596" s="34" t="s">
        <v>29</v>
      </c>
      <c r="I596" s="34" t="s">
        <v>40</v>
      </c>
      <c r="J596" s="34" t="s">
        <v>1347</v>
      </c>
      <c r="K596" s="34" t="s">
        <v>1348</v>
      </c>
      <c r="L596" s="34" t="s">
        <v>111</v>
      </c>
      <c r="M596" s="37" t="s">
        <v>210</v>
      </c>
      <c r="N596" s="24"/>
      <c r="O596" s="34" t="s">
        <v>29</v>
      </c>
      <c r="P596" s="34">
        <v>32.0</v>
      </c>
      <c r="Q596" s="34">
        <v>2666.0</v>
      </c>
      <c r="R596" s="34" t="s">
        <v>34</v>
      </c>
      <c r="S596" s="34" t="s">
        <v>1220</v>
      </c>
    </row>
    <row r="597" ht="15.75" customHeight="1">
      <c r="A597" s="33">
        <v>45673.94662563657</v>
      </c>
      <c r="B597" s="34" t="s">
        <v>124</v>
      </c>
      <c r="C597" s="34" t="s">
        <v>1324</v>
      </c>
      <c r="D597" s="34" t="s">
        <v>71</v>
      </c>
      <c r="E597" s="34" t="s">
        <v>345</v>
      </c>
      <c r="F597" s="34">
        <v>1.0</v>
      </c>
      <c r="G597" s="34">
        <v>18.0</v>
      </c>
      <c r="H597" s="34" t="s">
        <v>29</v>
      </c>
      <c r="I597" s="34" t="s">
        <v>40</v>
      </c>
      <c r="J597" s="34" t="s">
        <v>1349</v>
      </c>
      <c r="K597" s="34" t="s">
        <v>1350</v>
      </c>
      <c r="L597" s="34" t="s">
        <v>136</v>
      </c>
      <c r="M597" s="35" t="s">
        <v>137</v>
      </c>
      <c r="N597" s="24"/>
      <c r="O597" s="34" t="s">
        <v>29</v>
      </c>
      <c r="P597" s="34">
        <v>16.0</v>
      </c>
      <c r="Q597" s="34">
        <v>2666.0</v>
      </c>
      <c r="R597" s="34" t="s">
        <v>34</v>
      </c>
      <c r="S597" s="34" t="s">
        <v>1217</v>
      </c>
    </row>
    <row r="598" ht="15.75" customHeight="1">
      <c r="A598" s="33">
        <v>45674.170159918984</v>
      </c>
      <c r="B598" s="34" t="s">
        <v>1351</v>
      </c>
      <c r="C598" s="34" t="s">
        <v>391</v>
      </c>
      <c r="D598" s="34" t="s">
        <v>1352</v>
      </c>
      <c r="E598" s="34" t="s">
        <v>634</v>
      </c>
      <c r="F598" s="34">
        <v>1.0</v>
      </c>
      <c r="G598" s="34">
        <v>8.0</v>
      </c>
      <c r="H598" s="34" t="s">
        <v>29</v>
      </c>
      <c r="I598" s="34" t="s">
        <v>40</v>
      </c>
      <c r="J598" s="34" t="s">
        <v>1353</v>
      </c>
      <c r="K598" s="34" t="s">
        <v>1354</v>
      </c>
      <c r="L598" s="34" t="s">
        <v>186</v>
      </c>
      <c r="M598" s="24"/>
      <c r="N598" s="37" t="s">
        <v>1355</v>
      </c>
      <c r="O598" s="34" t="s">
        <v>40</v>
      </c>
      <c r="P598" s="34">
        <v>8.0</v>
      </c>
      <c r="Q598" s="34">
        <v>1600.0</v>
      </c>
      <c r="R598" s="34" t="s">
        <v>1219</v>
      </c>
      <c r="S598" s="34" t="s">
        <v>1225</v>
      </c>
    </row>
    <row r="599" ht="15.75" customHeight="1">
      <c r="A599" s="33">
        <v>45674.22837549768</v>
      </c>
      <c r="B599" s="34" t="s">
        <v>294</v>
      </c>
      <c r="C599" s="34" t="s">
        <v>1173</v>
      </c>
      <c r="D599" s="34" t="s">
        <v>1110</v>
      </c>
      <c r="E599" s="34" t="s">
        <v>1356</v>
      </c>
      <c r="F599" s="34">
        <v>1.0</v>
      </c>
      <c r="G599" s="34">
        <v>20.0</v>
      </c>
      <c r="H599" s="34" t="s">
        <v>29</v>
      </c>
      <c r="I599" s="34" t="s">
        <v>40</v>
      </c>
      <c r="K599" s="34" t="s">
        <v>1357</v>
      </c>
      <c r="L599" s="34" t="s">
        <v>111</v>
      </c>
      <c r="M599" s="35" t="s">
        <v>50</v>
      </c>
      <c r="N599" s="37" t="s">
        <v>1358</v>
      </c>
      <c r="O599" s="34" t="s">
        <v>40</v>
      </c>
      <c r="P599" s="34">
        <v>16.0</v>
      </c>
      <c r="Q599" s="34">
        <v>2666.0</v>
      </c>
      <c r="R599" s="34" t="s">
        <v>34</v>
      </c>
      <c r="S599" s="34" t="s">
        <v>1225</v>
      </c>
    </row>
    <row r="600" ht="15.75" customHeight="1">
      <c r="A600" s="33">
        <v>45674.899073796296</v>
      </c>
      <c r="B600" s="34" t="s">
        <v>465</v>
      </c>
      <c r="C600" s="34" t="s">
        <v>1173</v>
      </c>
      <c r="D600" s="34" t="s">
        <v>119</v>
      </c>
      <c r="E600" s="34" t="s">
        <v>321</v>
      </c>
      <c r="F600" s="34">
        <v>1.0</v>
      </c>
      <c r="G600" s="34">
        <v>6.0</v>
      </c>
      <c r="H600" s="34" t="s">
        <v>29</v>
      </c>
      <c r="I600" s="34" t="s">
        <v>40</v>
      </c>
      <c r="K600" s="34" t="s">
        <v>1359</v>
      </c>
      <c r="M600" s="24"/>
      <c r="N600" s="24"/>
      <c r="O600" s="34" t="s">
        <v>40</v>
      </c>
      <c r="P600" s="34">
        <v>4.0</v>
      </c>
      <c r="Q600" s="34">
        <v>2666.0</v>
      </c>
      <c r="R600" s="34" t="s">
        <v>34</v>
      </c>
      <c r="S600" s="34" t="s">
        <v>1217</v>
      </c>
    </row>
    <row r="601" ht="15.75" customHeight="1">
      <c r="A601" s="33">
        <v>45675.707245011574</v>
      </c>
      <c r="B601" s="34" t="s">
        <v>169</v>
      </c>
      <c r="C601" s="34" t="s">
        <v>1195</v>
      </c>
      <c r="D601" s="34" t="s">
        <v>47</v>
      </c>
      <c r="E601" s="34" t="s">
        <v>165</v>
      </c>
      <c r="F601" s="34">
        <v>2.0</v>
      </c>
      <c r="G601" s="34">
        <v>32.0</v>
      </c>
      <c r="H601" s="34" t="s">
        <v>29</v>
      </c>
      <c r="I601" s="34" t="s">
        <v>40</v>
      </c>
      <c r="K601" s="34" t="s">
        <v>1360</v>
      </c>
      <c r="L601" s="34" t="s">
        <v>111</v>
      </c>
      <c r="M601" s="35" t="s">
        <v>116</v>
      </c>
      <c r="N601" s="24"/>
      <c r="O601" s="34" t="s">
        <v>29</v>
      </c>
      <c r="P601" s="34">
        <v>16.0</v>
      </c>
      <c r="Q601" s="34">
        <v>2666.0</v>
      </c>
      <c r="R601" s="34" t="s">
        <v>34</v>
      </c>
      <c r="S601" s="34" t="s">
        <v>1220</v>
      </c>
    </row>
    <row r="602" ht="15.75" customHeight="1">
      <c r="A602" s="33">
        <v>45675.861953750005</v>
      </c>
      <c r="B602" s="34" t="s">
        <v>2</v>
      </c>
      <c r="C602" s="34" t="s">
        <v>1173</v>
      </c>
      <c r="D602" s="34" t="s">
        <v>27</v>
      </c>
      <c r="E602" s="34" t="s">
        <v>28</v>
      </c>
      <c r="F602" s="34">
        <v>2.0</v>
      </c>
      <c r="G602" s="34">
        <v>32.0</v>
      </c>
      <c r="H602" s="34" t="s">
        <v>29</v>
      </c>
      <c r="I602" s="34" t="s">
        <v>40</v>
      </c>
      <c r="K602" s="34" t="s">
        <v>1361</v>
      </c>
      <c r="L602" s="34" t="s">
        <v>585</v>
      </c>
      <c r="M602" s="35" t="s">
        <v>1362</v>
      </c>
      <c r="N602" s="24"/>
      <c r="O602" s="34" t="s">
        <v>29</v>
      </c>
      <c r="P602" s="34">
        <v>16.0</v>
      </c>
      <c r="Q602" s="34">
        <v>2666.0</v>
      </c>
      <c r="R602" s="34" t="s">
        <v>34</v>
      </c>
      <c r="S602" s="34" t="s">
        <v>1220</v>
      </c>
    </row>
    <row r="603" ht="15.75" customHeight="1">
      <c r="A603" s="33">
        <v>45676.01166045139</v>
      </c>
      <c r="B603" s="34" t="s">
        <v>118</v>
      </c>
      <c r="C603" s="34" t="s">
        <v>1324</v>
      </c>
      <c r="D603" s="34" t="s">
        <v>565</v>
      </c>
      <c r="E603" s="34" t="s">
        <v>1363</v>
      </c>
      <c r="F603" s="34">
        <v>1.0</v>
      </c>
      <c r="H603" s="34" t="s">
        <v>40</v>
      </c>
      <c r="J603" s="34" t="s">
        <v>1364</v>
      </c>
      <c r="K603" s="34" t="s">
        <v>1326</v>
      </c>
      <c r="L603" s="34" t="s">
        <v>111</v>
      </c>
      <c r="M603" s="37" t="s">
        <v>1365</v>
      </c>
      <c r="N603" s="24"/>
      <c r="O603" s="34" t="s">
        <v>40</v>
      </c>
      <c r="P603" s="34">
        <v>16.0</v>
      </c>
      <c r="Q603" s="34">
        <v>2666.0</v>
      </c>
      <c r="R603" s="34" t="s">
        <v>34</v>
      </c>
      <c r="S603" s="34" t="s">
        <v>1225</v>
      </c>
    </row>
    <row r="604" ht="15.75" customHeight="1">
      <c r="A604" s="33">
        <v>45676.43131318287</v>
      </c>
      <c r="B604" s="34" t="s">
        <v>288</v>
      </c>
      <c r="C604" s="34" t="s">
        <v>1173</v>
      </c>
      <c r="D604" s="34" t="s">
        <v>119</v>
      </c>
      <c r="E604" s="34" t="s">
        <v>473</v>
      </c>
      <c r="F604" s="34">
        <v>1.0</v>
      </c>
      <c r="G604" s="34">
        <v>18.0</v>
      </c>
      <c r="H604" s="34" t="s">
        <v>29</v>
      </c>
      <c r="I604" s="34" t="s">
        <v>40</v>
      </c>
      <c r="K604" s="34" t="s">
        <v>1366</v>
      </c>
      <c r="M604" s="24"/>
      <c r="N604" s="37" t="s">
        <v>1367</v>
      </c>
      <c r="O604" s="34" t="s">
        <v>40</v>
      </c>
      <c r="P604" s="34">
        <v>16.0</v>
      </c>
      <c r="Q604" s="34">
        <v>2666.0</v>
      </c>
      <c r="R604" s="34" t="s">
        <v>34</v>
      </c>
      <c r="S604" s="34" t="s">
        <v>1225</v>
      </c>
    </row>
    <row r="605" ht="15.75" customHeight="1">
      <c r="A605" s="33">
        <v>45676.49310037037</v>
      </c>
      <c r="B605" s="34" t="s">
        <v>465</v>
      </c>
      <c r="C605" s="34" t="s">
        <v>1173</v>
      </c>
      <c r="D605" s="34" t="s">
        <v>1368</v>
      </c>
      <c r="E605" s="34" t="s">
        <v>1369</v>
      </c>
      <c r="F605" s="34">
        <v>1.0</v>
      </c>
      <c r="G605" s="34">
        <v>10.0</v>
      </c>
      <c r="H605" s="34" t="s">
        <v>29</v>
      </c>
      <c r="I605" s="34" t="s">
        <v>40</v>
      </c>
      <c r="K605" s="34" t="s">
        <v>1370</v>
      </c>
      <c r="M605" s="37" t="s">
        <v>1371</v>
      </c>
      <c r="N605" s="24"/>
      <c r="O605" s="34" t="s">
        <v>40</v>
      </c>
      <c r="P605" s="34">
        <v>8.0</v>
      </c>
      <c r="Q605" s="34">
        <v>2666.0</v>
      </c>
      <c r="R605" s="34" t="s">
        <v>34</v>
      </c>
      <c r="S605" s="34" t="s">
        <v>1217</v>
      </c>
    </row>
    <row r="606" ht="15.75" customHeight="1">
      <c r="A606" s="33">
        <v>45676.72148327546</v>
      </c>
      <c r="B606" s="34" t="s">
        <v>169</v>
      </c>
      <c r="C606" s="34" t="s">
        <v>841</v>
      </c>
      <c r="D606" s="34" t="s">
        <v>985</v>
      </c>
      <c r="E606" s="34" t="s">
        <v>1372</v>
      </c>
      <c r="F606" s="34">
        <v>1.0</v>
      </c>
      <c r="G606" s="34">
        <v>40.0</v>
      </c>
      <c r="H606" s="34" t="s">
        <v>29</v>
      </c>
      <c r="I606" s="34" t="s">
        <v>40</v>
      </c>
      <c r="J606" s="34" t="s">
        <v>1373</v>
      </c>
      <c r="K606" s="34" t="s">
        <v>1374</v>
      </c>
      <c r="L606" s="34" t="s">
        <v>111</v>
      </c>
      <c r="M606" s="35" t="s">
        <v>50</v>
      </c>
      <c r="N606" s="24"/>
      <c r="O606" s="34" t="s">
        <v>29</v>
      </c>
      <c r="P606" s="34">
        <v>32.0</v>
      </c>
      <c r="Q606" s="34">
        <v>3200.0</v>
      </c>
      <c r="R606" s="34" t="s">
        <v>34</v>
      </c>
      <c r="S606" s="34" t="s">
        <v>1225</v>
      </c>
    </row>
    <row r="607" ht="15.75" customHeight="1">
      <c r="A607" s="33">
        <v>45677.53979260416</v>
      </c>
      <c r="B607" s="34" t="s">
        <v>124</v>
      </c>
      <c r="C607" s="34" t="s">
        <v>1173</v>
      </c>
      <c r="D607" s="34" t="s">
        <v>38</v>
      </c>
      <c r="E607" s="34" t="s">
        <v>1090</v>
      </c>
      <c r="F607" s="34">
        <v>1.0</v>
      </c>
      <c r="G607" s="34">
        <v>18.0</v>
      </c>
      <c r="H607" s="34" t="s">
        <v>40</v>
      </c>
      <c r="J607" s="34" t="s">
        <v>1375</v>
      </c>
      <c r="K607" s="34" t="s">
        <v>1376</v>
      </c>
      <c r="L607" s="34" t="s">
        <v>508</v>
      </c>
      <c r="M607" s="24"/>
      <c r="N607" s="24"/>
      <c r="O607" s="34" t="s">
        <v>126</v>
      </c>
      <c r="P607" s="34">
        <v>16.0</v>
      </c>
      <c r="Q607" s="34">
        <v>3200.0</v>
      </c>
      <c r="R607" s="34" t="s">
        <v>34</v>
      </c>
      <c r="S607" s="34" t="s">
        <v>1220</v>
      </c>
    </row>
    <row r="608" ht="15.75" customHeight="1">
      <c r="A608" s="33">
        <v>45678.36505146991</v>
      </c>
      <c r="B608" s="34" t="s">
        <v>124</v>
      </c>
      <c r="C608" s="34" t="s">
        <v>1173</v>
      </c>
      <c r="D608" s="34" t="s">
        <v>27</v>
      </c>
      <c r="E608" s="34" t="s">
        <v>1377</v>
      </c>
      <c r="F608" s="34">
        <v>1.0</v>
      </c>
      <c r="G608" s="34">
        <v>18.0</v>
      </c>
      <c r="H608" s="34" t="s">
        <v>40</v>
      </c>
      <c r="J608" s="34" t="s">
        <v>1378</v>
      </c>
      <c r="K608" s="34" t="s">
        <v>1376</v>
      </c>
      <c r="L608" s="34" t="s">
        <v>1379</v>
      </c>
      <c r="M608" s="24"/>
      <c r="N608" s="24"/>
      <c r="O608" s="34" t="s">
        <v>126</v>
      </c>
      <c r="P608" s="34">
        <v>16.0</v>
      </c>
      <c r="Q608" s="34">
        <v>3200.0</v>
      </c>
      <c r="R608" s="34" t="s">
        <v>34</v>
      </c>
      <c r="S608" s="34" t="s">
        <v>1220</v>
      </c>
    </row>
    <row r="609" ht="15.75" customHeight="1">
      <c r="A609" s="33">
        <v>45678.36617811343</v>
      </c>
      <c r="B609" s="34" t="s">
        <v>124</v>
      </c>
      <c r="C609" s="34" t="s">
        <v>1173</v>
      </c>
      <c r="D609" s="34" t="s">
        <v>38</v>
      </c>
      <c r="E609" s="34" t="s">
        <v>177</v>
      </c>
      <c r="F609" s="34">
        <v>1.0</v>
      </c>
      <c r="G609" s="34">
        <v>10.0</v>
      </c>
      <c r="H609" s="34" t="s">
        <v>29</v>
      </c>
      <c r="I609" s="34" t="s">
        <v>40</v>
      </c>
      <c r="J609" s="34" t="s">
        <v>1380</v>
      </c>
      <c r="K609" s="34" t="s">
        <v>1376</v>
      </c>
      <c r="L609" s="34" t="s">
        <v>1379</v>
      </c>
      <c r="M609" s="24"/>
      <c r="N609" s="24"/>
      <c r="O609" s="34" t="s">
        <v>126</v>
      </c>
      <c r="P609" s="34">
        <v>8.0</v>
      </c>
      <c r="Q609" s="34">
        <v>2400.0</v>
      </c>
      <c r="R609" s="34" t="s">
        <v>34</v>
      </c>
      <c r="S609" s="34" t="s">
        <v>1220</v>
      </c>
    </row>
    <row r="610" ht="15.75" customHeight="1">
      <c r="A610" s="33">
        <v>45678.37373730324</v>
      </c>
      <c r="B610" s="34" t="s">
        <v>465</v>
      </c>
      <c r="C610" s="34" t="s">
        <v>1173</v>
      </c>
      <c r="D610" s="34" t="s">
        <v>38</v>
      </c>
      <c r="E610" s="34" t="s">
        <v>1381</v>
      </c>
      <c r="F610" s="34">
        <v>1.0</v>
      </c>
      <c r="G610" s="34">
        <v>18.0</v>
      </c>
      <c r="H610" s="34" t="s">
        <v>29</v>
      </c>
      <c r="I610" s="34" t="s">
        <v>40</v>
      </c>
      <c r="K610" s="34" t="s">
        <v>1382</v>
      </c>
      <c r="L610" s="34" t="s">
        <v>668</v>
      </c>
      <c r="M610" s="35" t="s">
        <v>1383</v>
      </c>
      <c r="N610" s="24"/>
      <c r="O610" s="34" t="s">
        <v>29</v>
      </c>
      <c r="P610" s="34">
        <v>16.0</v>
      </c>
      <c r="Q610" s="34">
        <v>2400.0</v>
      </c>
      <c r="R610" s="34" t="s">
        <v>34</v>
      </c>
      <c r="S610" s="34" t="s">
        <v>1225</v>
      </c>
    </row>
    <row r="611" ht="15.75" customHeight="1">
      <c r="A611" s="33">
        <v>45678.89132725695</v>
      </c>
      <c r="B611" s="34" t="s">
        <v>169</v>
      </c>
      <c r="C611" s="34" t="s">
        <v>1384</v>
      </c>
      <c r="D611" s="34" t="s">
        <v>565</v>
      </c>
      <c r="E611" s="34" t="s">
        <v>1385</v>
      </c>
      <c r="F611" s="34">
        <v>2.0</v>
      </c>
      <c r="G611" s="34">
        <v>32.0</v>
      </c>
      <c r="H611" s="34" t="s">
        <v>29</v>
      </c>
      <c r="I611" s="34" t="s">
        <v>40</v>
      </c>
      <c r="K611" s="34" t="s">
        <v>1386</v>
      </c>
      <c r="L611" s="34" t="s">
        <v>111</v>
      </c>
      <c r="M611" s="35" t="s">
        <v>50</v>
      </c>
      <c r="N611" s="24"/>
      <c r="O611" s="34" t="s">
        <v>29</v>
      </c>
      <c r="P611" s="34">
        <v>16.0</v>
      </c>
      <c r="Q611" s="34">
        <v>3200.0</v>
      </c>
      <c r="R611" s="34" t="s">
        <v>34</v>
      </c>
      <c r="S611" s="34" t="s">
        <v>1217</v>
      </c>
    </row>
    <row r="612" ht="15.75" customHeight="1">
      <c r="A612" s="33">
        <v>45679.77967081018</v>
      </c>
      <c r="B612" s="34" t="s">
        <v>288</v>
      </c>
      <c r="D612" s="34" t="s">
        <v>38</v>
      </c>
      <c r="E612" s="34" t="s">
        <v>1387</v>
      </c>
      <c r="F612" s="34">
        <v>1.0</v>
      </c>
      <c r="G612" s="34">
        <v>12.0</v>
      </c>
      <c r="H612" s="34" t="s">
        <v>40</v>
      </c>
      <c r="K612" s="34" t="s">
        <v>1388</v>
      </c>
      <c r="L612" s="34" t="s">
        <v>93</v>
      </c>
      <c r="M612" s="35" t="s">
        <v>50</v>
      </c>
      <c r="N612" s="24"/>
      <c r="O612" s="34" t="s">
        <v>126</v>
      </c>
      <c r="P612" s="34">
        <v>16.0</v>
      </c>
      <c r="Q612" s="34">
        <v>2666.0</v>
      </c>
      <c r="R612" s="34" t="s">
        <v>34</v>
      </c>
      <c r="S612" s="34" t="s">
        <v>1217</v>
      </c>
    </row>
    <row r="613" ht="15.75" customHeight="1">
      <c r="A613" s="33">
        <v>45680.33441954861</v>
      </c>
      <c r="B613" s="34" t="s">
        <v>36</v>
      </c>
      <c r="C613" s="34" t="s">
        <v>1173</v>
      </c>
      <c r="D613" s="34" t="s">
        <v>1389</v>
      </c>
      <c r="E613" s="34" t="s">
        <v>1390</v>
      </c>
      <c r="F613" s="34">
        <v>2.0</v>
      </c>
      <c r="G613" s="34">
        <v>32.0</v>
      </c>
      <c r="H613" s="34" t="s">
        <v>29</v>
      </c>
      <c r="I613" s="34" t="s">
        <v>40</v>
      </c>
      <c r="K613" s="34" t="s">
        <v>1391</v>
      </c>
      <c r="L613" s="34" t="s">
        <v>1211</v>
      </c>
      <c r="M613" s="37" t="s">
        <v>1392</v>
      </c>
      <c r="N613" s="24"/>
      <c r="O613" s="34" t="s">
        <v>40</v>
      </c>
      <c r="P613" s="34">
        <v>16.0</v>
      </c>
      <c r="Q613" s="34">
        <v>3200.0</v>
      </c>
      <c r="R613" s="34" t="s">
        <v>34</v>
      </c>
      <c r="S613" s="34" t="s">
        <v>1217</v>
      </c>
    </row>
    <row r="614" ht="15.75" customHeight="1">
      <c r="A614" s="33">
        <v>45680.45110100694</v>
      </c>
      <c r="B614" s="34" t="s">
        <v>138</v>
      </c>
      <c r="C614" s="34" t="s">
        <v>1173</v>
      </c>
      <c r="D614" s="34" t="s">
        <v>27</v>
      </c>
      <c r="E614" s="34" t="s">
        <v>157</v>
      </c>
      <c r="F614" s="34">
        <v>2.0</v>
      </c>
      <c r="G614" s="34">
        <v>32.0</v>
      </c>
      <c r="H614" s="34" t="s">
        <v>29</v>
      </c>
      <c r="I614" s="34" t="s">
        <v>40</v>
      </c>
      <c r="K614" s="34" t="s">
        <v>1393</v>
      </c>
      <c r="L614" s="34" t="s">
        <v>1394</v>
      </c>
      <c r="M614" s="37" t="s">
        <v>1395</v>
      </c>
      <c r="N614" s="37" t="s">
        <v>1396</v>
      </c>
      <c r="O614" s="34" t="s">
        <v>40</v>
      </c>
      <c r="P614" s="34">
        <v>16.0</v>
      </c>
      <c r="Q614" s="34">
        <v>2666.0</v>
      </c>
      <c r="R614" s="34" t="s">
        <v>34</v>
      </c>
      <c r="S614" s="34" t="s">
        <v>1220</v>
      </c>
    </row>
    <row r="615" ht="15.75" customHeight="1">
      <c r="A615" s="33">
        <v>45680.6171277199</v>
      </c>
      <c r="B615" s="34" t="s">
        <v>465</v>
      </c>
      <c r="C615" s="34" t="s">
        <v>1173</v>
      </c>
      <c r="D615" s="34" t="s">
        <v>27</v>
      </c>
      <c r="E615" s="34" t="s">
        <v>1014</v>
      </c>
      <c r="F615" s="34">
        <v>1.0</v>
      </c>
      <c r="G615" s="34">
        <v>18.0</v>
      </c>
      <c r="H615" s="34" t="s">
        <v>29</v>
      </c>
      <c r="I615" s="34" t="s">
        <v>40</v>
      </c>
      <c r="K615" s="34" t="s">
        <v>1397</v>
      </c>
      <c r="L615" s="34" t="s">
        <v>354</v>
      </c>
      <c r="M615" s="37" t="s">
        <v>1398</v>
      </c>
      <c r="N615" s="24"/>
      <c r="O615" s="34" t="s">
        <v>40</v>
      </c>
      <c r="P615" s="34">
        <v>16.0</v>
      </c>
      <c r="Q615" s="34">
        <v>3200.0</v>
      </c>
      <c r="R615" s="34" t="s">
        <v>34</v>
      </c>
      <c r="S615" s="34" t="s">
        <v>1225</v>
      </c>
    </row>
    <row r="616" ht="15.75" customHeight="1">
      <c r="A616" s="33">
        <v>45681.90100789352</v>
      </c>
      <c r="B616" s="34" t="s">
        <v>1399</v>
      </c>
      <c r="C616" s="34" t="s">
        <v>1173</v>
      </c>
      <c r="D616" s="34" t="s">
        <v>47</v>
      </c>
      <c r="E616" s="34" t="s">
        <v>173</v>
      </c>
      <c r="F616" s="34">
        <v>2.0</v>
      </c>
      <c r="G616" s="34">
        <v>32.0</v>
      </c>
      <c r="H616" s="34" t="s">
        <v>29</v>
      </c>
      <c r="I616" s="34" t="s">
        <v>40</v>
      </c>
      <c r="K616" s="34" t="s">
        <v>1400</v>
      </c>
      <c r="L616" s="34" t="s">
        <v>111</v>
      </c>
      <c r="M616" s="35" t="s">
        <v>50</v>
      </c>
      <c r="N616" s="37" t="s">
        <v>1401</v>
      </c>
      <c r="O616" s="34" t="s">
        <v>29</v>
      </c>
      <c r="P616" s="34">
        <v>16.0</v>
      </c>
      <c r="Q616" s="34">
        <v>2666.0</v>
      </c>
      <c r="R616" s="34" t="s">
        <v>34</v>
      </c>
      <c r="S616" s="34" t="s">
        <v>1220</v>
      </c>
    </row>
    <row r="617" ht="15.75" customHeight="1">
      <c r="A617" s="33">
        <v>45683.813226701386</v>
      </c>
      <c r="B617" s="34" t="s">
        <v>36</v>
      </c>
      <c r="C617" s="34" t="s">
        <v>1173</v>
      </c>
      <c r="D617" s="34" t="s">
        <v>716</v>
      </c>
      <c r="E617" s="34" t="s">
        <v>1402</v>
      </c>
      <c r="F617" s="34">
        <v>1.0</v>
      </c>
      <c r="G617" s="34">
        <v>20.0</v>
      </c>
      <c r="H617" s="34" t="s">
        <v>29</v>
      </c>
      <c r="I617" s="34" t="s">
        <v>40</v>
      </c>
      <c r="K617" s="34" t="s">
        <v>1403</v>
      </c>
      <c r="L617" s="34" t="s">
        <v>31</v>
      </c>
      <c r="M617" s="35" t="s">
        <v>230</v>
      </c>
      <c r="N617" s="24"/>
      <c r="O617" s="34" t="s">
        <v>40</v>
      </c>
      <c r="P617" s="34">
        <v>16.0</v>
      </c>
      <c r="Q617" s="34">
        <v>2666.0</v>
      </c>
      <c r="R617" s="34" t="s">
        <v>34</v>
      </c>
      <c r="S617" s="34" t="s">
        <v>1225</v>
      </c>
    </row>
    <row r="618" ht="15.75" customHeight="1">
      <c r="A618" s="33">
        <v>45684.76614319444</v>
      </c>
      <c r="B618" s="34" t="s">
        <v>36</v>
      </c>
      <c r="C618" s="34" t="s">
        <v>1173</v>
      </c>
      <c r="D618" s="34" t="s">
        <v>1404</v>
      </c>
      <c r="E618" s="34" t="s">
        <v>212</v>
      </c>
      <c r="F618" s="34">
        <v>1.0</v>
      </c>
      <c r="G618" s="34">
        <v>20.0</v>
      </c>
      <c r="H618" s="34" t="s">
        <v>29</v>
      </c>
      <c r="I618" s="34" t="s">
        <v>40</v>
      </c>
      <c r="J618" s="34" t="s">
        <v>1405</v>
      </c>
      <c r="K618" s="34" t="s">
        <v>1406</v>
      </c>
      <c r="L618" s="34" t="s">
        <v>1379</v>
      </c>
      <c r="M618" s="35" t="s">
        <v>1362</v>
      </c>
      <c r="N618" s="37" t="s">
        <v>1407</v>
      </c>
      <c r="O618" s="34" t="s">
        <v>40</v>
      </c>
      <c r="P618" s="34">
        <v>16.0</v>
      </c>
      <c r="Q618" s="34">
        <v>2666.0</v>
      </c>
      <c r="R618" s="34" t="s">
        <v>34</v>
      </c>
      <c r="S618" s="34" t="s">
        <v>1225</v>
      </c>
    </row>
    <row r="619" ht="15.75" customHeight="1">
      <c r="A619" s="33">
        <v>45685.541694444444</v>
      </c>
      <c r="B619" s="34" t="s">
        <v>2</v>
      </c>
      <c r="C619" s="34" t="s">
        <v>1173</v>
      </c>
      <c r="D619" s="34" t="s">
        <v>1408</v>
      </c>
      <c r="E619" s="34" t="s">
        <v>1409</v>
      </c>
      <c r="F619" s="34">
        <v>1.0</v>
      </c>
      <c r="G619" s="34">
        <v>20.0</v>
      </c>
      <c r="H619" s="34" t="s">
        <v>29</v>
      </c>
      <c r="I619" s="34" t="s">
        <v>40</v>
      </c>
      <c r="J619" s="34" t="s">
        <v>1410</v>
      </c>
      <c r="K619" s="34" t="s">
        <v>1411</v>
      </c>
      <c r="L619" s="34" t="s">
        <v>366</v>
      </c>
      <c r="M619" s="35" t="s">
        <v>1412</v>
      </c>
      <c r="N619" s="37" t="s">
        <v>1413</v>
      </c>
      <c r="O619" s="34" t="s">
        <v>29</v>
      </c>
      <c r="P619" s="34">
        <v>16.0</v>
      </c>
      <c r="Q619" s="34">
        <v>2666.0</v>
      </c>
      <c r="R619" s="34" t="s">
        <v>34</v>
      </c>
      <c r="S619" s="34" t="s">
        <v>1220</v>
      </c>
    </row>
    <row r="620" ht="15.75" customHeight="1">
      <c r="A620" s="33">
        <v>45685.6653455787</v>
      </c>
      <c r="B620" s="34" t="s">
        <v>465</v>
      </c>
      <c r="C620" s="34" t="s">
        <v>1173</v>
      </c>
      <c r="D620" s="34" t="s">
        <v>976</v>
      </c>
      <c r="E620" s="34" t="s">
        <v>977</v>
      </c>
      <c r="F620" s="34">
        <v>1.0</v>
      </c>
      <c r="G620" s="34">
        <v>10.0</v>
      </c>
      <c r="H620" s="34" t="s">
        <v>40</v>
      </c>
      <c r="K620" s="34" t="s">
        <v>1414</v>
      </c>
      <c r="L620" s="34" t="s">
        <v>354</v>
      </c>
      <c r="M620" s="35" t="s">
        <v>653</v>
      </c>
      <c r="N620" s="37" t="s">
        <v>1415</v>
      </c>
      <c r="O620" s="34" t="s">
        <v>40</v>
      </c>
      <c r="P620" s="34">
        <v>8.0</v>
      </c>
      <c r="Q620" s="34">
        <v>2666.0</v>
      </c>
      <c r="R620" s="34" t="s">
        <v>34</v>
      </c>
      <c r="S620" s="34" t="s">
        <v>1217</v>
      </c>
    </row>
    <row r="621" ht="15.75" customHeight="1">
      <c r="A621" s="33">
        <v>45685.82378761574</v>
      </c>
      <c r="B621" s="34" t="s">
        <v>465</v>
      </c>
      <c r="C621" s="34" t="s">
        <v>1173</v>
      </c>
      <c r="D621" s="34" t="s">
        <v>119</v>
      </c>
      <c r="E621" s="34" t="s">
        <v>1416</v>
      </c>
      <c r="F621" s="34">
        <v>1.0</v>
      </c>
      <c r="G621" s="34">
        <v>10.0</v>
      </c>
      <c r="H621" s="34" t="s">
        <v>29</v>
      </c>
      <c r="I621" s="34" t="s">
        <v>40</v>
      </c>
      <c r="K621" s="34" t="s">
        <v>1417</v>
      </c>
      <c r="L621" s="34" t="s">
        <v>1418</v>
      </c>
      <c r="M621" s="37" t="s">
        <v>1419</v>
      </c>
      <c r="N621" s="37" t="s">
        <v>1420</v>
      </c>
      <c r="O621" s="34" t="s">
        <v>40</v>
      </c>
      <c r="P621" s="34">
        <v>8.0</v>
      </c>
      <c r="Q621" s="34">
        <v>2400.0</v>
      </c>
      <c r="R621" s="34" t="s">
        <v>34</v>
      </c>
      <c r="S621" s="34" t="s">
        <v>1220</v>
      </c>
    </row>
    <row r="622" ht="15.75" customHeight="1">
      <c r="A622" s="33">
        <v>45685.95156392361</v>
      </c>
      <c r="B622" s="34" t="s">
        <v>465</v>
      </c>
      <c r="C622" s="34" t="s">
        <v>1324</v>
      </c>
      <c r="D622" s="34" t="s">
        <v>107</v>
      </c>
      <c r="E622" s="34" t="s">
        <v>1421</v>
      </c>
      <c r="F622" s="34">
        <v>1.0</v>
      </c>
      <c r="G622" s="34">
        <v>6.0</v>
      </c>
      <c r="H622" s="34" t="s">
        <v>29</v>
      </c>
      <c r="I622" s="34" t="s">
        <v>40</v>
      </c>
      <c r="K622" s="34" t="s">
        <v>1422</v>
      </c>
      <c r="L622" s="34" t="s">
        <v>1423</v>
      </c>
      <c r="M622" s="37" t="s">
        <v>1424</v>
      </c>
      <c r="N622" s="37" t="s">
        <v>1425</v>
      </c>
      <c r="O622" s="34" t="s">
        <v>40</v>
      </c>
      <c r="P622" s="34">
        <v>4.0</v>
      </c>
      <c r="Q622" s="34">
        <v>2400.0</v>
      </c>
      <c r="R622" s="34" t="s">
        <v>34</v>
      </c>
      <c r="S622" s="34" t="s">
        <v>1217</v>
      </c>
    </row>
    <row r="623" ht="15.75" customHeight="1">
      <c r="A623" s="33">
        <v>45686.42199179398</v>
      </c>
      <c r="B623" s="34" t="s">
        <v>298</v>
      </c>
      <c r="C623" s="34" t="s">
        <v>1324</v>
      </c>
      <c r="D623" s="34" t="s">
        <v>38</v>
      </c>
      <c r="E623" s="34" t="s">
        <v>1426</v>
      </c>
      <c r="F623" s="34">
        <v>2.0</v>
      </c>
      <c r="G623" s="34">
        <v>16.0</v>
      </c>
      <c r="H623" s="34" t="s">
        <v>29</v>
      </c>
      <c r="I623" s="34" t="s">
        <v>40</v>
      </c>
      <c r="K623" s="34" t="s">
        <v>1341</v>
      </c>
      <c r="L623" s="34" t="s">
        <v>611</v>
      </c>
      <c r="M623" s="37" t="s">
        <v>612</v>
      </c>
      <c r="N623" s="37" t="s">
        <v>1427</v>
      </c>
      <c r="O623" s="34" t="s">
        <v>40</v>
      </c>
      <c r="P623" s="34">
        <v>8.0</v>
      </c>
      <c r="Q623" s="34">
        <v>1600.0</v>
      </c>
      <c r="R623" s="34" t="s">
        <v>1219</v>
      </c>
      <c r="S623" s="34" t="s">
        <v>1220</v>
      </c>
    </row>
    <row r="624" ht="15.75" customHeight="1">
      <c r="A624" s="33">
        <v>45686.42639363426</v>
      </c>
      <c r="B624" s="34" t="s">
        <v>465</v>
      </c>
      <c r="C624" s="34" t="s">
        <v>1173</v>
      </c>
      <c r="D624" s="34" t="s">
        <v>119</v>
      </c>
      <c r="E624" s="34" t="s">
        <v>540</v>
      </c>
      <c r="F624" s="34">
        <v>1.0</v>
      </c>
      <c r="G624" s="34">
        <v>10.0</v>
      </c>
      <c r="H624" s="34" t="s">
        <v>29</v>
      </c>
      <c r="I624" s="34" t="s">
        <v>40</v>
      </c>
      <c r="K624" s="34" t="s">
        <v>1341</v>
      </c>
      <c r="M624" s="24"/>
      <c r="N624" s="37" t="s">
        <v>1428</v>
      </c>
      <c r="O624" s="34" t="s">
        <v>40</v>
      </c>
      <c r="P624" s="34">
        <v>8.0</v>
      </c>
      <c r="Q624" s="34">
        <v>3200.0</v>
      </c>
      <c r="R624" s="34" t="s">
        <v>34</v>
      </c>
      <c r="S624" s="34" t="s">
        <v>1217</v>
      </c>
    </row>
    <row r="625" ht="15.75" customHeight="1">
      <c r="A625" s="33">
        <v>45686.659090092595</v>
      </c>
      <c r="B625" s="34" t="s">
        <v>124</v>
      </c>
      <c r="C625" s="34" t="s">
        <v>1034</v>
      </c>
      <c r="D625" s="34" t="s">
        <v>38</v>
      </c>
      <c r="E625" s="34" t="s">
        <v>368</v>
      </c>
      <c r="F625" s="34">
        <v>1.0</v>
      </c>
      <c r="G625" s="34">
        <v>18.0</v>
      </c>
      <c r="H625" s="34" t="s">
        <v>40</v>
      </c>
      <c r="K625" s="34" t="s">
        <v>1429</v>
      </c>
      <c r="L625" s="34" t="s">
        <v>354</v>
      </c>
      <c r="M625" s="37" t="s">
        <v>1430</v>
      </c>
      <c r="N625" s="24"/>
      <c r="O625" s="34" t="s">
        <v>126</v>
      </c>
      <c r="P625" s="34">
        <v>16.0</v>
      </c>
      <c r="Q625" s="34">
        <v>3200.0</v>
      </c>
      <c r="R625" s="34" t="s">
        <v>34</v>
      </c>
      <c r="S625" s="34" t="s">
        <v>1220</v>
      </c>
    </row>
    <row r="626" ht="15.75" customHeight="1">
      <c r="A626" s="33">
        <v>45686.66072241898</v>
      </c>
      <c r="B626" s="34" t="s">
        <v>124</v>
      </c>
      <c r="C626" s="34" t="s">
        <v>1034</v>
      </c>
      <c r="D626" s="34" t="s">
        <v>579</v>
      </c>
      <c r="E626" s="34" t="s">
        <v>899</v>
      </c>
      <c r="F626" s="34">
        <v>1.0</v>
      </c>
      <c r="G626" s="34">
        <v>18.0</v>
      </c>
      <c r="H626" s="34" t="s">
        <v>40</v>
      </c>
      <c r="K626" s="34" t="s">
        <v>1429</v>
      </c>
      <c r="L626" s="34" t="s">
        <v>354</v>
      </c>
      <c r="M626" s="35" t="s">
        <v>1431</v>
      </c>
      <c r="N626" s="24"/>
      <c r="O626" s="34" t="s">
        <v>126</v>
      </c>
      <c r="P626" s="34">
        <v>16.0</v>
      </c>
      <c r="Q626" s="34">
        <v>3200.0</v>
      </c>
      <c r="R626" s="34" t="s">
        <v>34</v>
      </c>
      <c r="S626" s="34" t="s">
        <v>1220</v>
      </c>
    </row>
    <row r="627" ht="15.75" customHeight="1">
      <c r="A627" s="33">
        <v>45686.66275861111</v>
      </c>
      <c r="B627" s="34" t="s">
        <v>124</v>
      </c>
      <c r="C627" s="34" t="s">
        <v>1034</v>
      </c>
      <c r="D627" s="34" t="s">
        <v>38</v>
      </c>
      <c r="E627" s="34" t="s">
        <v>368</v>
      </c>
      <c r="F627" s="34">
        <v>1.0</v>
      </c>
      <c r="G627" s="34">
        <v>18.0</v>
      </c>
      <c r="H627" s="34" t="s">
        <v>40</v>
      </c>
      <c r="J627" s="34" t="s">
        <v>1432</v>
      </c>
      <c r="K627" s="34" t="s">
        <v>1429</v>
      </c>
      <c r="L627" s="34" t="s">
        <v>354</v>
      </c>
      <c r="M627" s="37" t="s">
        <v>1430</v>
      </c>
      <c r="N627" s="24"/>
      <c r="O627" s="34" t="s">
        <v>126</v>
      </c>
      <c r="P627" s="34">
        <v>16.0</v>
      </c>
      <c r="Q627" s="34">
        <v>3200.0</v>
      </c>
      <c r="R627" s="34" t="s">
        <v>34</v>
      </c>
      <c r="S627" s="34" t="s">
        <v>1220</v>
      </c>
    </row>
    <row r="628" ht="15.75" customHeight="1">
      <c r="A628" s="33">
        <v>45686.74006260416</v>
      </c>
      <c r="B628" s="34" t="s">
        <v>169</v>
      </c>
      <c r="C628" s="34" t="s">
        <v>1173</v>
      </c>
      <c r="D628" s="34" t="s">
        <v>1433</v>
      </c>
      <c r="E628" s="34" t="s">
        <v>281</v>
      </c>
      <c r="F628" s="34">
        <v>2.0</v>
      </c>
      <c r="G628" s="34">
        <v>64.0</v>
      </c>
      <c r="H628" s="34" t="s">
        <v>29</v>
      </c>
      <c r="I628" s="34" t="s">
        <v>40</v>
      </c>
      <c r="K628" s="34" t="s">
        <v>1434</v>
      </c>
      <c r="L628" s="34" t="s">
        <v>111</v>
      </c>
      <c r="M628" s="35" t="s">
        <v>106</v>
      </c>
      <c r="N628" s="37" t="s">
        <v>1435</v>
      </c>
      <c r="O628" s="34" t="s">
        <v>29</v>
      </c>
      <c r="P628" s="34">
        <v>64.0</v>
      </c>
      <c r="Q628" s="34">
        <v>2666.0</v>
      </c>
      <c r="R628" s="34" t="s">
        <v>34</v>
      </c>
      <c r="S628" s="34" t="s">
        <v>1225</v>
      </c>
    </row>
    <row r="629" ht="15.75" customHeight="1">
      <c r="A629" s="33">
        <v>45686.75069616898</v>
      </c>
      <c r="B629" s="34" t="s">
        <v>465</v>
      </c>
      <c r="C629" s="34" t="s">
        <v>1173</v>
      </c>
      <c r="D629" s="34" t="s">
        <v>671</v>
      </c>
      <c r="E629" s="34" t="s">
        <v>718</v>
      </c>
      <c r="F629" s="34">
        <v>2.0</v>
      </c>
      <c r="G629" s="34">
        <v>18.0</v>
      </c>
      <c r="H629" s="34" t="s">
        <v>29</v>
      </c>
      <c r="I629" s="34" t="s">
        <v>40</v>
      </c>
      <c r="J629" s="34" t="s">
        <v>1436</v>
      </c>
      <c r="K629" s="34" t="s">
        <v>1288</v>
      </c>
      <c r="L629" s="34" t="s">
        <v>31</v>
      </c>
      <c r="M629" s="37" t="s">
        <v>210</v>
      </c>
      <c r="N629" s="24"/>
      <c r="O629" s="34" t="s">
        <v>40</v>
      </c>
      <c r="P629" s="34">
        <v>16.0</v>
      </c>
      <c r="Q629" s="34">
        <v>2666.0</v>
      </c>
      <c r="R629" s="34" t="s">
        <v>34</v>
      </c>
      <c r="S629" s="34" t="s">
        <v>1217</v>
      </c>
    </row>
    <row r="630" ht="15.75" customHeight="1">
      <c r="A630" s="33">
        <v>45686.82038148148</v>
      </c>
      <c r="B630" s="34" t="s">
        <v>288</v>
      </c>
      <c r="C630" s="34" t="s">
        <v>1173</v>
      </c>
      <c r="D630" s="34" t="s">
        <v>71</v>
      </c>
      <c r="E630" s="34" t="s">
        <v>1437</v>
      </c>
      <c r="F630" s="34">
        <v>1.0</v>
      </c>
      <c r="G630" s="34">
        <v>18.0</v>
      </c>
      <c r="H630" s="34" t="s">
        <v>29</v>
      </c>
      <c r="I630" s="34" t="s">
        <v>40</v>
      </c>
      <c r="J630" s="34" t="s">
        <v>1438</v>
      </c>
      <c r="K630" s="34" t="s">
        <v>1439</v>
      </c>
      <c r="L630" s="34" t="s">
        <v>111</v>
      </c>
      <c r="M630" s="35" t="s">
        <v>50</v>
      </c>
      <c r="N630" s="37" t="s">
        <v>1440</v>
      </c>
      <c r="O630" s="34" t="s">
        <v>126</v>
      </c>
      <c r="P630" s="34">
        <v>16.0</v>
      </c>
      <c r="Q630" s="34">
        <v>2666.0</v>
      </c>
      <c r="R630" s="34" t="s">
        <v>34</v>
      </c>
      <c r="S630" s="34" t="s">
        <v>1225</v>
      </c>
    </row>
    <row r="631" ht="15.75" customHeight="1">
      <c r="A631" s="33">
        <v>45686.82700804398</v>
      </c>
      <c r="B631" s="34" t="s">
        <v>288</v>
      </c>
      <c r="C631" s="34" t="s">
        <v>1173</v>
      </c>
      <c r="D631" s="34" t="s">
        <v>127</v>
      </c>
      <c r="E631" s="34" t="s">
        <v>1441</v>
      </c>
      <c r="F631" s="34">
        <v>1.0</v>
      </c>
      <c r="G631" s="34">
        <v>18.0</v>
      </c>
      <c r="H631" s="34" t="s">
        <v>29</v>
      </c>
      <c r="I631" s="34" t="s">
        <v>40</v>
      </c>
      <c r="K631" s="34" t="s">
        <v>1442</v>
      </c>
      <c r="M631" s="37" t="s">
        <v>1443</v>
      </c>
      <c r="N631" s="24"/>
      <c r="O631" s="34" t="s">
        <v>40</v>
      </c>
      <c r="P631" s="34">
        <v>16.0</v>
      </c>
      <c r="Q631" s="34">
        <v>2666.0</v>
      </c>
      <c r="R631" s="34" t="s">
        <v>34</v>
      </c>
      <c r="S631" s="34" t="s">
        <v>1220</v>
      </c>
    </row>
    <row r="632" ht="15.75" customHeight="1">
      <c r="A632" s="33">
        <v>45688.34486254629</v>
      </c>
      <c r="B632" s="34" t="s">
        <v>465</v>
      </c>
      <c r="C632" s="34" t="s">
        <v>1173</v>
      </c>
      <c r="D632" s="34" t="s">
        <v>119</v>
      </c>
      <c r="E632" s="34" t="s">
        <v>473</v>
      </c>
      <c r="F632" s="34">
        <v>2.0</v>
      </c>
      <c r="G632" s="34">
        <v>18.0</v>
      </c>
      <c r="H632" s="34" t="s">
        <v>29</v>
      </c>
      <c r="I632" s="34" t="s">
        <v>40</v>
      </c>
      <c r="J632" s="34" t="s">
        <v>1444</v>
      </c>
      <c r="K632" s="34" t="s">
        <v>1299</v>
      </c>
      <c r="L632" s="34" t="s">
        <v>585</v>
      </c>
      <c r="M632" s="35" t="s">
        <v>1445</v>
      </c>
      <c r="N632" s="37" t="s">
        <v>1446</v>
      </c>
      <c r="O632" s="34" t="s">
        <v>40</v>
      </c>
      <c r="P632" s="34">
        <v>16.0</v>
      </c>
      <c r="Q632" s="34">
        <v>2666.0</v>
      </c>
      <c r="R632" s="34" t="s">
        <v>34</v>
      </c>
      <c r="S632" s="34" t="s">
        <v>1220</v>
      </c>
    </row>
    <row r="633" ht="15.75" customHeight="1">
      <c r="A633" s="33">
        <v>45689.50440539352</v>
      </c>
      <c r="B633" s="34" t="s">
        <v>465</v>
      </c>
      <c r="C633" s="34" t="s">
        <v>1173</v>
      </c>
      <c r="D633" s="34" t="s">
        <v>119</v>
      </c>
      <c r="E633" s="34" t="s">
        <v>321</v>
      </c>
      <c r="F633" s="34">
        <v>1.0</v>
      </c>
      <c r="G633" s="34">
        <v>6.0</v>
      </c>
      <c r="H633" s="34" t="s">
        <v>29</v>
      </c>
      <c r="I633" s="34" t="s">
        <v>40</v>
      </c>
      <c r="J633" s="34" t="s">
        <v>1447</v>
      </c>
      <c r="K633" s="34" t="s">
        <v>1414</v>
      </c>
      <c r="L633" s="34" t="s">
        <v>354</v>
      </c>
      <c r="M633" s="35" t="s">
        <v>1448</v>
      </c>
      <c r="N633" s="37" t="s">
        <v>1449</v>
      </c>
      <c r="O633" s="34" t="s">
        <v>40</v>
      </c>
      <c r="P633" s="34">
        <v>4.0</v>
      </c>
      <c r="Q633" s="34">
        <v>2666.0</v>
      </c>
      <c r="R633" s="34" t="s">
        <v>34</v>
      </c>
      <c r="S633" s="34" t="s">
        <v>1217</v>
      </c>
    </row>
    <row r="634" ht="15.75" customHeight="1">
      <c r="A634" s="33">
        <v>45690.266159837964</v>
      </c>
      <c r="B634" s="34" t="s">
        <v>288</v>
      </c>
      <c r="C634" s="34" t="s">
        <v>1173</v>
      </c>
      <c r="D634" s="34" t="s">
        <v>71</v>
      </c>
      <c r="E634" s="34" t="s">
        <v>1402</v>
      </c>
      <c r="F634" s="34">
        <v>1.0</v>
      </c>
      <c r="G634" s="34">
        <v>18.0</v>
      </c>
      <c r="H634" s="34" t="s">
        <v>29</v>
      </c>
      <c r="I634" s="34" t="s">
        <v>40</v>
      </c>
      <c r="K634" s="34" t="s">
        <v>1450</v>
      </c>
      <c r="L634" s="34" t="s">
        <v>186</v>
      </c>
      <c r="M634" s="35" t="s">
        <v>1451</v>
      </c>
      <c r="N634" s="24"/>
      <c r="O634" s="34" t="s">
        <v>40</v>
      </c>
      <c r="P634" s="34">
        <v>16.0</v>
      </c>
      <c r="Q634" s="34">
        <v>2666.0</v>
      </c>
      <c r="R634" s="34" t="s">
        <v>34</v>
      </c>
      <c r="S634" s="34" t="s">
        <v>1220</v>
      </c>
    </row>
    <row r="635" ht="15.75" customHeight="1">
      <c r="A635" s="33">
        <v>45690.562841122686</v>
      </c>
      <c r="B635" s="34" t="s">
        <v>124</v>
      </c>
      <c r="C635" s="34" t="s">
        <v>1173</v>
      </c>
      <c r="D635" s="34" t="s">
        <v>38</v>
      </c>
      <c r="E635" s="34" t="s">
        <v>368</v>
      </c>
      <c r="F635" s="34">
        <v>1.0</v>
      </c>
      <c r="G635" s="34">
        <v>18.0</v>
      </c>
      <c r="H635" s="34" t="s">
        <v>29</v>
      </c>
      <c r="I635" s="34" t="s">
        <v>40</v>
      </c>
      <c r="K635" s="42" t="s">
        <v>1452</v>
      </c>
      <c r="L635" s="34" t="s">
        <v>354</v>
      </c>
      <c r="M635" s="35" t="s">
        <v>653</v>
      </c>
      <c r="N635" s="24"/>
      <c r="O635" s="34" t="s">
        <v>126</v>
      </c>
      <c r="P635" s="34">
        <v>16.0</v>
      </c>
      <c r="Q635" s="34">
        <v>3200.0</v>
      </c>
      <c r="R635" s="34" t="s">
        <v>34</v>
      </c>
      <c r="S635" s="34" t="s">
        <v>1220</v>
      </c>
    </row>
    <row r="636" ht="15.75" customHeight="1">
      <c r="A636" s="33">
        <v>45691.26707555556</v>
      </c>
      <c r="B636" s="34" t="s">
        <v>288</v>
      </c>
      <c r="C636" s="34" t="s">
        <v>1173</v>
      </c>
      <c r="D636" s="34" t="s">
        <v>27</v>
      </c>
      <c r="E636" s="34" t="s">
        <v>1014</v>
      </c>
      <c r="F636" s="34">
        <v>1.0</v>
      </c>
      <c r="G636" s="34">
        <v>18.0</v>
      </c>
      <c r="H636" s="34" t="s">
        <v>29</v>
      </c>
      <c r="I636" s="34" t="s">
        <v>40</v>
      </c>
      <c r="K636" s="34" t="s">
        <v>1453</v>
      </c>
      <c r="L636" s="34" t="s">
        <v>436</v>
      </c>
      <c r="M636" s="37" t="s">
        <v>1454</v>
      </c>
      <c r="N636" s="24"/>
      <c r="O636" s="34" t="s">
        <v>40</v>
      </c>
      <c r="P636" s="34">
        <v>16.0</v>
      </c>
      <c r="Q636" s="34">
        <v>3200.0</v>
      </c>
      <c r="R636" s="34" t="s">
        <v>34</v>
      </c>
      <c r="S636" s="34" t="s">
        <v>1220</v>
      </c>
    </row>
    <row r="637" ht="15.75" customHeight="1">
      <c r="A637" s="33">
        <v>45691.85182113426</v>
      </c>
      <c r="B637" s="34" t="s">
        <v>118</v>
      </c>
      <c r="C637" s="34" t="s">
        <v>1324</v>
      </c>
      <c r="D637" s="34" t="s">
        <v>71</v>
      </c>
      <c r="E637" s="34" t="s">
        <v>491</v>
      </c>
      <c r="F637" s="34">
        <v>1.0</v>
      </c>
      <c r="G637" s="34">
        <v>18.0</v>
      </c>
      <c r="H637" s="34" t="s">
        <v>29</v>
      </c>
      <c r="I637" s="34" t="s">
        <v>40</v>
      </c>
      <c r="J637" s="34" t="s">
        <v>1455</v>
      </c>
      <c r="K637" s="34" t="s">
        <v>1456</v>
      </c>
      <c r="L637" s="34" t="s">
        <v>111</v>
      </c>
      <c r="M637" s="35" t="s">
        <v>116</v>
      </c>
      <c r="N637" s="37" t="s">
        <v>1080</v>
      </c>
      <c r="O637" s="34" t="s">
        <v>40</v>
      </c>
      <c r="P637" s="34">
        <v>16.0</v>
      </c>
      <c r="Q637" s="34">
        <v>2666.0</v>
      </c>
      <c r="R637" s="34" t="s">
        <v>34</v>
      </c>
      <c r="S637" s="34" t="s">
        <v>1225</v>
      </c>
    </row>
    <row r="638" ht="15.75" customHeight="1">
      <c r="A638" s="33">
        <v>45692.569151944444</v>
      </c>
      <c r="B638" s="34" t="s">
        <v>66</v>
      </c>
      <c r="C638" s="34" t="s">
        <v>1173</v>
      </c>
      <c r="D638" s="34" t="s">
        <v>38</v>
      </c>
      <c r="E638" s="34" t="s">
        <v>59</v>
      </c>
      <c r="F638" s="34">
        <v>1.0</v>
      </c>
      <c r="G638" s="34">
        <v>10.0</v>
      </c>
      <c r="H638" s="34" t="s">
        <v>40</v>
      </c>
      <c r="I638" s="34" t="s">
        <v>40</v>
      </c>
      <c r="K638" s="34" t="s">
        <v>1457</v>
      </c>
      <c r="L638" s="34" t="s">
        <v>111</v>
      </c>
      <c r="M638" s="35" t="s">
        <v>50</v>
      </c>
      <c r="N638" s="24"/>
      <c r="O638" s="34" t="s">
        <v>40</v>
      </c>
      <c r="P638" s="34">
        <v>8.0</v>
      </c>
      <c r="Q638" s="34">
        <v>2666.0</v>
      </c>
      <c r="R638" s="34" t="s">
        <v>34</v>
      </c>
      <c r="S638" s="34" t="s">
        <v>1220</v>
      </c>
    </row>
    <row r="639" ht="15.75" customHeight="1">
      <c r="A639" s="33">
        <v>45692.57152471065</v>
      </c>
      <c r="B639" s="34" t="s">
        <v>66</v>
      </c>
      <c r="C639" s="34" t="s">
        <v>1173</v>
      </c>
      <c r="D639" s="34" t="s">
        <v>1458</v>
      </c>
      <c r="E639" s="34" t="s">
        <v>1459</v>
      </c>
      <c r="F639" s="34">
        <v>1.0</v>
      </c>
      <c r="G639" s="34">
        <v>10.0</v>
      </c>
      <c r="H639" s="34" t="s">
        <v>29</v>
      </c>
      <c r="I639" s="34" t="s">
        <v>40</v>
      </c>
      <c r="K639" s="34" t="s">
        <v>1457</v>
      </c>
      <c r="L639" s="34" t="s">
        <v>611</v>
      </c>
      <c r="M639" s="37" t="s">
        <v>612</v>
      </c>
      <c r="N639" s="24"/>
      <c r="O639" s="34" t="s">
        <v>40</v>
      </c>
      <c r="P639" s="34">
        <v>8.0</v>
      </c>
      <c r="Q639" s="34">
        <v>2400.0</v>
      </c>
      <c r="R639" s="34" t="s">
        <v>34</v>
      </c>
      <c r="S639" s="34" t="s">
        <v>1220</v>
      </c>
    </row>
    <row r="640" ht="15.75" customHeight="1">
      <c r="A640" s="33">
        <v>45692.645085833334</v>
      </c>
      <c r="B640" s="34" t="s">
        <v>465</v>
      </c>
      <c r="C640" s="34" t="s">
        <v>1460</v>
      </c>
      <c r="D640" s="34" t="s">
        <v>119</v>
      </c>
      <c r="E640" s="34" t="s">
        <v>812</v>
      </c>
      <c r="F640" s="34">
        <v>1.0</v>
      </c>
      <c r="G640" s="34">
        <v>18.0</v>
      </c>
      <c r="H640" s="34" t="s">
        <v>29</v>
      </c>
      <c r="I640" s="34" t="s">
        <v>40</v>
      </c>
      <c r="K640" s="34" t="s">
        <v>1461</v>
      </c>
      <c r="L640" s="34" t="s">
        <v>111</v>
      </c>
      <c r="M640" s="35" t="s">
        <v>50</v>
      </c>
      <c r="N640" s="24"/>
      <c r="O640" s="34" t="s">
        <v>40</v>
      </c>
      <c r="P640" s="34">
        <v>16.0</v>
      </c>
      <c r="Q640" s="34">
        <v>2666.0</v>
      </c>
      <c r="R640" s="34" t="s">
        <v>34</v>
      </c>
      <c r="S640" s="34" t="s">
        <v>1217</v>
      </c>
    </row>
    <row r="641" ht="15.75" customHeight="1">
      <c r="A641" s="33">
        <v>45692.78094885417</v>
      </c>
      <c r="B641" s="34" t="s">
        <v>465</v>
      </c>
      <c r="C641" s="34" t="s">
        <v>1173</v>
      </c>
      <c r="D641" s="34" t="s">
        <v>27</v>
      </c>
      <c r="E641" s="34" t="s">
        <v>329</v>
      </c>
      <c r="F641" s="34">
        <v>1.0</v>
      </c>
      <c r="G641" s="34">
        <v>10.0</v>
      </c>
      <c r="H641" s="34" t="s">
        <v>29</v>
      </c>
      <c r="I641" s="34" t="s">
        <v>40</v>
      </c>
      <c r="K641" s="34" t="s">
        <v>1288</v>
      </c>
      <c r="M641" s="24"/>
      <c r="N641" s="24"/>
      <c r="O641" s="34" t="s">
        <v>40</v>
      </c>
      <c r="P641" s="34">
        <v>8.0</v>
      </c>
      <c r="Q641" s="34">
        <v>2666.0</v>
      </c>
      <c r="R641" s="34" t="s">
        <v>34</v>
      </c>
      <c r="S641" s="34" t="s">
        <v>1220</v>
      </c>
    </row>
    <row r="642" ht="15.75" customHeight="1">
      <c r="A642" s="33">
        <v>45692.78222270834</v>
      </c>
      <c r="B642" s="34" t="s">
        <v>465</v>
      </c>
      <c r="C642" s="34" t="s">
        <v>1173</v>
      </c>
      <c r="D642" s="34" t="s">
        <v>86</v>
      </c>
      <c r="E642" s="34" t="s">
        <v>149</v>
      </c>
      <c r="F642" s="34">
        <v>1.0</v>
      </c>
      <c r="H642" s="34" t="s">
        <v>40</v>
      </c>
      <c r="I642" s="34" t="s">
        <v>40</v>
      </c>
      <c r="K642" s="34" t="s">
        <v>1288</v>
      </c>
      <c r="M642" s="24"/>
      <c r="N642" s="24"/>
      <c r="O642" s="34" t="s">
        <v>40</v>
      </c>
      <c r="P642" s="34">
        <v>16.0</v>
      </c>
      <c r="Q642" s="34">
        <v>2666.0</v>
      </c>
      <c r="R642" s="34" t="s">
        <v>34</v>
      </c>
      <c r="S642" s="34" t="s">
        <v>1220</v>
      </c>
    </row>
    <row r="643" ht="15.75" customHeight="1">
      <c r="A643" s="33">
        <v>45694.902791354165</v>
      </c>
      <c r="B643" s="34" t="s">
        <v>465</v>
      </c>
      <c r="C643" s="34" t="s">
        <v>1173</v>
      </c>
      <c r="D643" s="34" t="s">
        <v>38</v>
      </c>
      <c r="E643" s="34" t="s">
        <v>400</v>
      </c>
      <c r="F643" s="34">
        <v>1.0</v>
      </c>
      <c r="G643" s="34">
        <v>18.0</v>
      </c>
      <c r="H643" s="34" t="s">
        <v>29</v>
      </c>
      <c r="I643" s="34" t="s">
        <v>40</v>
      </c>
      <c r="K643" s="34" t="s">
        <v>1462</v>
      </c>
      <c r="L643" s="34" t="s">
        <v>219</v>
      </c>
      <c r="M643" s="35" t="s">
        <v>1320</v>
      </c>
      <c r="N643" s="24"/>
      <c r="O643" s="34" t="s">
        <v>126</v>
      </c>
      <c r="P643" s="34">
        <v>16.0</v>
      </c>
      <c r="Q643" s="34">
        <v>2400.0</v>
      </c>
      <c r="R643" s="34" t="s">
        <v>34</v>
      </c>
      <c r="S643" s="34" t="s">
        <v>1225</v>
      </c>
    </row>
    <row r="644" ht="15.75" customHeight="1">
      <c r="A644" s="33">
        <v>45695.72262892361</v>
      </c>
      <c r="B644" s="34" t="s">
        <v>124</v>
      </c>
      <c r="C644" s="34" t="s">
        <v>1463</v>
      </c>
      <c r="D644" s="34" t="s">
        <v>107</v>
      </c>
      <c r="E644" s="34" t="s">
        <v>1464</v>
      </c>
      <c r="F644" s="34">
        <v>1.0</v>
      </c>
      <c r="G644" s="34">
        <v>18.0</v>
      </c>
      <c r="H644" s="34" t="s">
        <v>29</v>
      </c>
      <c r="I644" s="34" t="s">
        <v>40</v>
      </c>
      <c r="J644" s="34" t="s">
        <v>1465</v>
      </c>
      <c r="K644" s="34" t="s">
        <v>1429</v>
      </c>
      <c r="L644" s="34" t="s">
        <v>354</v>
      </c>
      <c r="M644" s="24"/>
      <c r="N644" s="24"/>
      <c r="O644" s="34" t="s">
        <v>126</v>
      </c>
      <c r="P644" s="34">
        <v>16.0</v>
      </c>
      <c r="Q644" s="34">
        <v>2666.0</v>
      </c>
      <c r="R644" s="34" t="s">
        <v>34</v>
      </c>
      <c r="S644" s="34" t="s">
        <v>1225</v>
      </c>
    </row>
    <row r="645" ht="15.75" customHeight="1">
      <c r="A645" s="33">
        <v>45695.73935128472</v>
      </c>
      <c r="B645" s="34" t="s">
        <v>465</v>
      </c>
      <c r="C645" s="34" t="s">
        <v>1463</v>
      </c>
      <c r="D645" s="34" t="s">
        <v>922</v>
      </c>
      <c r="E645" s="34" t="s">
        <v>1466</v>
      </c>
      <c r="F645" s="34">
        <v>1.0</v>
      </c>
      <c r="G645" s="34">
        <v>10.0</v>
      </c>
      <c r="H645" s="34" t="s">
        <v>29</v>
      </c>
      <c r="I645" s="34" t="s">
        <v>40</v>
      </c>
      <c r="K645" s="34" t="s">
        <v>1467</v>
      </c>
      <c r="L645" s="34" t="s">
        <v>420</v>
      </c>
      <c r="M645" s="37" t="s">
        <v>260</v>
      </c>
      <c r="N645" s="24"/>
      <c r="O645" s="34" t="s">
        <v>40</v>
      </c>
      <c r="P645" s="34">
        <v>8.0</v>
      </c>
      <c r="Q645" s="34">
        <v>3200.0</v>
      </c>
      <c r="R645" s="34" t="s">
        <v>34</v>
      </c>
      <c r="S645" s="34" t="s">
        <v>1220</v>
      </c>
    </row>
    <row r="646" ht="15.75" customHeight="1">
      <c r="A646" s="33">
        <v>45698.72105216435</v>
      </c>
      <c r="B646" s="34" t="s">
        <v>138</v>
      </c>
      <c r="C646" s="34" t="s">
        <v>769</v>
      </c>
      <c r="D646" s="34" t="s">
        <v>38</v>
      </c>
      <c r="E646" s="34" t="s">
        <v>389</v>
      </c>
      <c r="F646" s="34">
        <v>2.0</v>
      </c>
      <c r="G646" s="34">
        <v>32.0</v>
      </c>
      <c r="H646" s="34" t="s">
        <v>29</v>
      </c>
      <c r="I646" s="34" t="s">
        <v>40</v>
      </c>
      <c r="K646" s="34" t="s">
        <v>1468</v>
      </c>
      <c r="L646" s="34" t="s">
        <v>103</v>
      </c>
      <c r="M646" s="35" t="s">
        <v>122</v>
      </c>
      <c r="N646" s="37" t="s">
        <v>1469</v>
      </c>
      <c r="O646" s="34" t="s">
        <v>40</v>
      </c>
      <c r="P646" s="34">
        <v>16.0</v>
      </c>
      <c r="Q646" s="34">
        <v>3200.0</v>
      </c>
      <c r="R646" s="34" t="s">
        <v>34</v>
      </c>
      <c r="S646" s="34" t="s">
        <v>1220</v>
      </c>
    </row>
    <row r="647" ht="15.75" customHeight="1">
      <c r="A647" s="33">
        <v>45699.457471064816</v>
      </c>
      <c r="B647" s="34" t="s">
        <v>288</v>
      </c>
      <c r="C647" s="34" t="s">
        <v>1463</v>
      </c>
      <c r="D647" s="34" t="s">
        <v>38</v>
      </c>
      <c r="E647" s="34" t="s">
        <v>59</v>
      </c>
      <c r="F647" s="34">
        <v>1.0</v>
      </c>
      <c r="G647" s="34">
        <v>2.0</v>
      </c>
      <c r="H647" s="34" t="s">
        <v>40</v>
      </c>
      <c r="I647" s="34" t="s">
        <v>40</v>
      </c>
      <c r="K647" s="34" t="s">
        <v>516</v>
      </c>
      <c r="L647" s="34" t="s">
        <v>93</v>
      </c>
      <c r="M647" s="35" t="s">
        <v>225</v>
      </c>
      <c r="N647" s="24"/>
      <c r="O647" s="34" t="s">
        <v>126</v>
      </c>
      <c r="P647" s="34">
        <v>16.0</v>
      </c>
      <c r="Q647" s="34">
        <v>2666.0</v>
      </c>
      <c r="R647" s="34" t="s">
        <v>34</v>
      </c>
      <c r="S647" s="34" t="s">
        <v>1225</v>
      </c>
    </row>
    <row r="648" ht="15.75" customHeight="1">
      <c r="A648" s="33">
        <v>45699.81068274306</v>
      </c>
      <c r="B648" s="34" t="s">
        <v>82</v>
      </c>
      <c r="C648" s="34" t="s">
        <v>1336</v>
      </c>
      <c r="D648" s="34" t="s">
        <v>71</v>
      </c>
      <c r="E648" s="34" t="s">
        <v>1470</v>
      </c>
      <c r="F648" s="34">
        <v>2.0</v>
      </c>
      <c r="G648" s="34">
        <v>16.0</v>
      </c>
      <c r="H648" s="34" t="s">
        <v>40</v>
      </c>
      <c r="I648" s="34" t="s">
        <v>40</v>
      </c>
      <c r="J648" s="34" t="s">
        <v>1471</v>
      </c>
      <c r="K648" s="34" t="s">
        <v>1472</v>
      </c>
      <c r="L648" s="34" t="s">
        <v>111</v>
      </c>
      <c r="M648" s="37" t="s">
        <v>210</v>
      </c>
      <c r="N648" s="37" t="s">
        <v>1473</v>
      </c>
      <c r="O648" s="34" t="s">
        <v>40</v>
      </c>
      <c r="P648" s="34">
        <v>8.0</v>
      </c>
      <c r="Q648" s="34">
        <v>1866.0</v>
      </c>
      <c r="R648" s="34" t="s">
        <v>1219</v>
      </c>
      <c r="S648" s="34" t="s">
        <v>1225</v>
      </c>
    </row>
    <row r="649" ht="15.75" customHeight="1">
      <c r="A649" s="33">
        <v>45700.317059733796</v>
      </c>
      <c r="B649" s="34" t="s">
        <v>66</v>
      </c>
      <c r="C649" s="34" t="s">
        <v>1463</v>
      </c>
      <c r="D649" s="34" t="s">
        <v>38</v>
      </c>
      <c r="E649" s="34" t="s">
        <v>1474</v>
      </c>
      <c r="F649" s="34">
        <v>1.0</v>
      </c>
      <c r="G649" s="34">
        <v>6.0</v>
      </c>
      <c r="H649" s="34" t="s">
        <v>29</v>
      </c>
      <c r="I649" s="34" t="s">
        <v>40</v>
      </c>
      <c r="K649" s="34" t="s">
        <v>1457</v>
      </c>
      <c r="L649" s="34" t="s">
        <v>354</v>
      </c>
      <c r="M649" s="35" t="s">
        <v>920</v>
      </c>
      <c r="N649" s="24"/>
      <c r="O649" s="34" t="s">
        <v>40</v>
      </c>
      <c r="P649" s="34">
        <v>4.0</v>
      </c>
      <c r="Q649" s="34">
        <v>2666.0</v>
      </c>
      <c r="R649" s="34" t="s">
        <v>34</v>
      </c>
      <c r="S649" s="34" t="s">
        <v>1217</v>
      </c>
    </row>
    <row r="650" ht="15.75" customHeight="1">
      <c r="A650" s="33">
        <v>45700.320382129634</v>
      </c>
      <c r="B650" s="34" t="s">
        <v>66</v>
      </c>
      <c r="C650" s="34" t="s">
        <v>1463</v>
      </c>
      <c r="D650" s="34" t="s">
        <v>267</v>
      </c>
      <c r="E650" s="34" t="s">
        <v>181</v>
      </c>
      <c r="F650" s="34">
        <v>1.0</v>
      </c>
      <c r="G650" s="34">
        <v>10.0</v>
      </c>
      <c r="H650" s="34" t="s">
        <v>29</v>
      </c>
      <c r="I650" s="34" t="s">
        <v>40</v>
      </c>
      <c r="K650" s="34" t="s">
        <v>1457</v>
      </c>
      <c r="L650" s="34" t="s">
        <v>354</v>
      </c>
      <c r="M650" s="35" t="s">
        <v>1475</v>
      </c>
      <c r="N650" s="24"/>
      <c r="O650" s="34" t="s">
        <v>40</v>
      </c>
      <c r="P650" s="34">
        <v>8.0</v>
      </c>
      <c r="Q650" s="34">
        <v>2666.0</v>
      </c>
      <c r="R650" s="34" t="s">
        <v>34</v>
      </c>
      <c r="S650" s="34" t="s">
        <v>1220</v>
      </c>
    </row>
    <row r="651" ht="15.75" customHeight="1">
      <c r="A651" s="33">
        <v>45700.40462644676</v>
      </c>
      <c r="B651" s="34" t="s">
        <v>298</v>
      </c>
      <c r="C651" s="34" t="s">
        <v>1463</v>
      </c>
      <c r="D651" s="34" t="s">
        <v>38</v>
      </c>
      <c r="E651" s="34" t="s">
        <v>634</v>
      </c>
      <c r="F651" s="34">
        <v>2.0</v>
      </c>
      <c r="G651" s="34">
        <v>16.0</v>
      </c>
      <c r="H651" s="34" t="s">
        <v>29</v>
      </c>
      <c r="I651" s="34" t="s">
        <v>40</v>
      </c>
      <c r="J651" s="34" t="s">
        <v>1476</v>
      </c>
      <c r="K651" s="34" t="s">
        <v>1477</v>
      </c>
      <c r="L651" s="34" t="s">
        <v>111</v>
      </c>
      <c r="M651" s="35" t="s">
        <v>50</v>
      </c>
      <c r="N651" s="37" t="s">
        <v>1478</v>
      </c>
      <c r="O651" s="34" t="s">
        <v>40</v>
      </c>
      <c r="P651" s="34">
        <v>8.0</v>
      </c>
      <c r="Q651" s="34">
        <v>1600.0</v>
      </c>
      <c r="R651" s="34" t="s">
        <v>1219</v>
      </c>
      <c r="S651" s="34" t="s">
        <v>1225</v>
      </c>
    </row>
    <row r="652" ht="15.75" customHeight="1">
      <c r="A652" s="33">
        <v>45700.546010046295</v>
      </c>
      <c r="B652" s="34" t="s">
        <v>66</v>
      </c>
      <c r="C652" s="34" t="s">
        <v>1463</v>
      </c>
      <c r="D652" s="34" t="s">
        <v>38</v>
      </c>
      <c r="E652" s="34" t="s">
        <v>1479</v>
      </c>
      <c r="F652" s="34">
        <v>1.0</v>
      </c>
      <c r="H652" s="34" t="s">
        <v>40</v>
      </c>
      <c r="I652" s="34" t="s">
        <v>40</v>
      </c>
      <c r="K652" s="34" t="s">
        <v>1480</v>
      </c>
      <c r="L652" s="34" t="s">
        <v>93</v>
      </c>
      <c r="M652" s="35" t="s">
        <v>50</v>
      </c>
      <c r="N652" s="24"/>
      <c r="O652" s="34" t="s">
        <v>126</v>
      </c>
      <c r="P652" s="34">
        <v>32.0</v>
      </c>
      <c r="Q652" s="34">
        <v>3200.0</v>
      </c>
      <c r="R652" s="34" t="s">
        <v>34</v>
      </c>
      <c r="S652" s="34" t="s">
        <v>1225</v>
      </c>
    </row>
    <row r="653" ht="15.75" customHeight="1">
      <c r="A653" s="33">
        <v>45701.419769050925</v>
      </c>
      <c r="B653" s="34" t="s">
        <v>298</v>
      </c>
      <c r="C653" s="34" t="s">
        <v>1269</v>
      </c>
      <c r="D653" s="34" t="s">
        <v>71</v>
      </c>
      <c r="E653" s="34" t="s">
        <v>1481</v>
      </c>
      <c r="F653" s="34">
        <v>1.0</v>
      </c>
      <c r="G653" s="34">
        <v>10.0</v>
      </c>
      <c r="H653" s="34" t="s">
        <v>29</v>
      </c>
      <c r="I653" s="34" t="s">
        <v>40</v>
      </c>
      <c r="J653" s="34" t="s">
        <v>1482</v>
      </c>
      <c r="K653" s="34" t="s">
        <v>1483</v>
      </c>
      <c r="L653" s="34" t="s">
        <v>111</v>
      </c>
      <c r="M653" s="35" t="s">
        <v>116</v>
      </c>
      <c r="N653" s="24"/>
      <c r="O653" s="34" t="s">
        <v>40</v>
      </c>
      <c r="P653" s="34">
        <v>8.0</v>
      </c>
      <c r="Q653" s="34">
        <v>1600.0</v>
      </c>
      <c r="R653" s="34" t="s">
        <v>1219</v>
      </c>
      <c r="S653" s="34" t="s">
        <v>1225</v>
      </c>
    </row>
    <row r="654" ht="15.75" customHeight="1">
      <c r="A654" s="33">
        <v>45702.33122116898</v>
      </c>
      <c r="B654" s="34" t="s">
        <v>465</v>
      </c>
      <c r="C654" s="34" t="s">
        <v>1463</v>
      </c>
      <c r="D654" s="34" t="s">
        <v>27</v>
      </c>
      <c r="E654" s="34" t="s">
        <v>157</v>
      </c>
      <c r="F654" s="34">
        <v>1.0</v>
      </c>
      <c r="G654" s="34">
        <v>18.0</v>
      </c>
      <c r="H654" s="34" t="s">
        <v>29</v>
      </c>
      <c r="I654" s="34" t="s">
        <v>40</v>
      </c>
      <c r="K654" s="34" t="s">
        <v>1484</v>
      </c>
      <c r="L654" s="34" t="s">
        <v>436</v>
      </c>
      <c r="M654" s="37" t="s">
        <v>1485</v>
      </c>
      <c r="N654" s="24"/>
      <c r="O654" s="34" t="s">
        <v>126</v>
      </c>
      <c r="P654" s="34">
        <v>16.0</v>
      </c>
      <c r="Q654" s="34">
        <v>2666.0</v>
      </c>
      <c r="R654" s="34" t="s">
        <v>34</v>
      </c>
      <c r="S654" s="34" t="s">
        <v>1225</v>
      </c>
    </row>
    <row r="655" ht="15.75" customHeight="1">
      <c r="A655" s="33">
        <v>45702.67092822917</v>
      </c>
      <c r="B655" s="34" t="s">
        <v>288</v>
      </c>
      <c r="C655" s="34" t="s">
        <v>1463</v>
      </c>
      <c r="D655" s="34" t="s">
        <v>38</v>
      </c>
      <c r="E655" s="34" t="s">
        <v>1486</v>
      </c>
      <c r="F655" s="34">
        <v>1.0</v>
      </c>
      <c r="H655" s="34" t="s">
        <v>40</v>
      </c>
      <c r="K655" s="34" t="s">
        <v>1487</v>
      </c>
      <c r="L655" s="34" t="s">
        <v>140</v>
      </c>
      <c r="M655" s="35" t="s">
        <v>681</v>
      </c>
      <c r="N655" s="24"/>
      <c r="O655" s="34" t="s">
        <v>126</v>
      </c>
      <c r="P655" s="34">
        <v>8.0</v>
      </c>
      <c r="Q655" s="34">
        <v>2400.0</v>
      </c>
      <c r="R655" s="34" t="s">
        <v>34</v>
      </c>
      <c r="S655" s="34" t="s">
        <v>1220</v>
      </c>
    </row>
    <row r="656" ht="15.75" customHeight="1">
      <c r="A656" s="33">
        <v>45703.17092070602</v>
      </c>
      <c r="B656" s="34" t="s">
        <v>169</v>
      </c>
      <c r="C656" s="34" t="s">
        <v>1463</v>
      </c>
      <c r="D656" s="34" t="s">
        <v>565</v>
      </c>
      <c r="E656" s="34" t="s">
        <v>566</v>
      </c>
      <c r="F656" s="34">
        <v>2.0</v>
      </c>
      <c r="G656" s="34">
        <v>32.0</v>
      </c>
      <c r="H656" s="34" t="s">
        <v>29</v>
      </c>
      <c r="I656" s="34" t="s">
        <v>40</v>
      </c>
      <c r="K656" s="34" t="s">
        <v>1488</v>
      </c>
      <c r="L656" s="34" t="s">
        <v>111</v>
      </c>
      <c r="M656" s="35" t="s">
        <v>50</v>
      </c>
      <c r="N656" s="37" t="s">
        <v>1489</v>
      </c>
      <c r="O656" s="34" t="s">
        <v>29</v>
      </c>
      <c r="P656" s="34">
        <v>16.0</v>
      </c>
      <c r="Q656" s="34">
        <v>2666.0</v>
      </c>
      <c r="R656" s="34" t="s">
        <v>34</v>
      </c>
      <c r="S656" s="34" t="s">
        <v>1225</v>
      </c>
    </row>
    <row r="657" ht="15.75" customHeight="1">
      <c r="A657" s="33">
        <v>45703.45652944445</v>
      </c>
      <c r="B657" s="34" t="s">
        <v>66</v>
      </c>
      <c r="C657" s="34" t="s">
        <v>1463</v>
      </c>
      <c r="D657" s="34" t="s">
        <v>119</v>
      </c>
      <c r="E657" s="34" t="s">
        <v>665</v>
      </c>
      <c r="F657" s="34">
        <v>1.0</v>
      </c>
      <c r="G657" s="34">
        <v>18.0</v>
      </c>
      <c r="H657" s="34" t="s">
        <v>29</v>
      </c>
      <c r="I657" s="34" t="s">
        <v>40</v>
      </c>
      <c r="K657" s="34" t="s">
        <v>1480</v>
      </c>
      <c r="L657" s="34" t="s">
        <v>93</v>
      </c>
      <c r="M657" s="35" t="s">
        <v>50</v>
      </c>
      <c r="N657" s="24"/>
      <c r="O657" s="34" t="s">
        <v>126</v>
      </c>
      <c r="P657" s="34">
        <v>16.0</v>
      </c>
      <c r="Q657" s="34">
        <v>3200.0</v>
      </c>
      <c r="R657" s="34" t="s">
        <v>34</v>
      </c>
      <c r="S657" s="34" t="s">
        <v>1225</v>
      </c>
    </row>
    <row r="658" ht="15.75" customHeight="1">
      <c r="A658" s="33">
        <v>45703.835205069445</v>
      </c>
      <c r="B658" s="34" t="s">
        <v>169</v>
      </c>
      <c r="C658" s="34" t="s">
        <v>1490</v>
      </c>
      <c r="D658" s="34" t="s">
        <v>565</v>
      </c>
      <c r="E658" s="34" t="s">
        <v>566</v>
      </c>
      <c r="F658" s="34">
        <v>2.0</v>
      </c>
      <c r="G658" s="34">
        <v>32.0</v>
      </c>
      <c r="H658" s="34" t="s">
        <v>29</v>
      </c>
      <c r="I658" s="34" t="s">
        <v>40</v>
      </c>
      <c r="K658" s="34" t="s">
        <v>1491</v>
      </c>
      <c r="L658" s="34" t="s">
        <v>111</v>
      </c>
      <c r="M658" s="37" t="s">
        <v>210</v>
      </c>
      <c r="N658" s="24"/>
      <c r="O658" s="34" t="s">
        <v>126</v>
      </c>
      <c r="P658" s="34">
        <v>16.0</v>
      </c>
      <c r="Q658" s="34">
        <v>2666.0</v>
      </c>
      <c r="R658" s="34" t="s">
        <v>34</v>
      </c>
      <c r="S658" s="34" t="s">
        <v>1220</v>
      </c>
    </row>
    <row r="659" ht="15.75" customHeight="1">
      <c r="A659" s="33">
        <v>45703.8746912037</v>
      </c>
      <c r="B659" s="34" t="s">
        <v>45</v>
      </c>
      <c r="C659" s="34" t="s">
        <v>1463</v>
      </c>
      <c r="D659" s="34" t="s">
        <v>101</v>
      </c>
      <c r="E659" s="34" t="s">
        <v>1492</v>
      </c>
      <c r="F659" s="34">
        <v>2.0</v>
      </c>
      <c r="G659" s="34">
        <v>64.0</v>
      </c>
      <c r="H659" s="34" t="s">
        <v>29</v>
      </c>
      <c r="I659" s="34" t="s">
        <v>40</v>
      </c>
      <c r="K659" s="34" t="s">
        <v>1493</v>
      </c>
      <c r="M659" s="24"/>
      <c r="N659" s="37" t="s">
        <v>1494</v>
      </c>
      <c r="O659" s="34" t="s">
        <v>29</v>
      </c>
      <c r="P659" s="34">
        <v>32.0</v>
      </c>
      <c r="Q659" s="34">
        <v>3200.0</v>
      </c>
      <c r="R659" s="34" t="s">
        <v>34</v>
      </c>
      <c r="S659" s="34" t="s">
        <v>1225</v>
      </c>
    </row>
    <row r="660" ht="15.75" customHeight="1">
      <c r="A660" s="33">
        <v>45704.644660011574</v>
      </c>
      <c r="B660" s="34" t="s">
        <v>124</v>
      </c>
      <c r="C660" s="34" t="s">
        <v>1463</v>
      </c>
      <c r="D660" s="34" t="s">
        <v>38</v>
      </c>
      <c r="E660" s="34" t="s">
        <v>153</v>
      </c>
      <c r="F660" s="34">
        <v>1.0</v>
      </c>
      <c r="G660" s="34">
        <v>10.0</v>
      </c>
      <c r="H660" s="34" t="s">
        <v>29</v>
      </c>
      <c r="I660" s="34" t="s">
        <v>40</v>
      </c>
      <c r="K660" s="34" t="s">
        <v>1495</v>
      </c>
      <c r="L660" s="34" t="s">
        <v>1496</v>
      </c>
      <c r="M660" s="35" t="s">
        <v>681</v>
      </c>
      <c r="N660" s="37" t="s">
        <v>1497</v>
      </c>
      <c r="O660" s="34" t="s">
        <v>40</v>
      </c>
      <c r="P660" s="34">
        <v>8.0</v>
      </c>
      <c r="Q660" s="34">
        <v>3200.0</v>
      </c>
      <c r="R660" s="34" t="s">
        <v>34</v>
      </c>
      <c r="S660" s="34" t="s">
        <v>1220</v>
      </c>
    </row>
    <row r="661" ht="15.75" customHeight="1">
      <c r="A661" s="33">
        <v>45704.67469866898</v>
      </c>
      <c r="B661" s="34" t="s">
        <v>465</v>
      </c>
      <c r="C661" s="34" t="s">
        <v>1463</v>
      </c>
      <c r="D661" s="34" t="s">
        <v>671</v>
      </c>
      <c r="E661" s="34" t="s">
        <v>718</v>
      </c>
      <c r="F661" s="34">
        <v>1.0</v>
      </c>
      <c r="G661" s="34">
        <v>18.0</v>
      </c>
      <c r="H661" s="34" t="s">
        <v>29</v>
      </c>
      <c r="I661" s="34" t="s">
        <v>40</v>
      </c>
      <c r="K661" s="34" t="s">
        <v>1288</v>
      </c>
      <c r="L661" s="34" t="s">
        <v>103</v>
      </c>
      <c r="M661" s="35" t="s">
        <v>122</v>
      </c>
      <c r="N661" s="37" t="s">
        <v>1498</v>
      </c>
      <c r="O661" s="34" t="s">
        <v>40</v>
      </c>
      <c r="P661" s="34">
        <v>16.0</v>
      </c>
      <c r="Q661" s="34">
        <v>2666.0</v>
      </c>
      <c r="R661" s="34" t="s">
        <v>34</v>
      </c>
      <c r="S661" s="34" t="s">
        <v>1220</v>
      </c>
    </row>
    <row r="662" ht="15.75" customHeight="1">
      <c r="A662" s="33">
        <v>45704.683344687495</v>
      </c>
      <c r="B662" s="34" t="s">
        <v>465</v>
      </c>
      <c r="C662" s="34" t="s">
        <v>1463</v>
      </c>
      <c r="D662" s="34" t="s">
        <v>71</v>
      </c>
      <c r="E662" s="34" t="s">
        <v>345</v>
      </c>
      <c r="F662" s="34">
        <v>1.0</v>
      </c>
      <c r="G662" s="34">
        <v>18.0</v>
      </c>
      <c r="H662" s="34" t="s">
        <v>29</v>
      </c>
      <c r="I662" s="34" t="s">
        <v>40</v>
      </c>
      <c r="K662" s="34" t="s">
        <v>1288</v>
      </c>
      <c r="L662" s="34" t="s">
        <v>103</v>
      </c>
      <c r="M662" s="35" t="s">
        <v>122</v>
      </c>
      <c r="N662" s="37" t="s">
        <v>1499</v>
      </c>
      <c r="O662" s="34" t="s">
        <v>40</v>
      </c>
      <c r="P662" s="34">
        <v>16.0</v>
      </c>
      <c r="Q662" s="34">
        <v>2666.0</v>
      </c>
      <c r="R662" s="34" t="s">
        <v>34</v>
      </c>
      <c r="S662" s="34" t="s">
        <v>1217</v>
      </c>
    </row>
    <row r="663" ht="15.75" customHeight="1">
      <c r="A663" s="33">
        <v>45706.93636356482</v>
      </c>
      <c r="B663" s="34" t="s">
        <v>288</v>
      </c>
      <c r="C663" s="34" t="s">
        <v>1463</v>
      </c>
      <c r="D663" s="34" t="s">
        <v>27</v>
      </c>
      <c r="E663" s="34" t="s">
        <v>1312</v>
      </c>
      <c r="F663" s="34">
        <v>1.0</v>
      </c>
      <c r="G663" s="34">
        <v>18.0</v>
      </c>
      <c r="H663" s="34" t="s">
        <v>40</v>
      </c>
      <c r="I663" s="34" t="s">
        <v>40</v>
      </c>
      <c r="J663" s="34" t="s">
        <v>1500</v>
      </c>
      <c r="K663" s="34" t="s">
        <v>1501</v>
      </c>
      <c r="L663" s="34" t="s">
        <v>1502</v>
      </c>
      <c r="M663" s="35" t="s">
        <v>1503</v>
      </c>
      <c r="N663" s="24"/>
      <c r="O663" s="34" t="s">
        <v>40</v>
      </c>
      <c r="P663" s="34">
        <v>16.0</v>
      </c>
      <c r="Q663" s="34">
        <v>3200.0</v>
      </c>
      <c r="R663" s="34" t="s">
        <v>34</v>
      </c>
      <c r="S663" s="34" t="s">
        <v>1220</v>
      </c>
    </row>
    <row r="664" ht="15.75" customHeight="1">
      <c r="A664" s="33">
        <v>45707.833772962964</v>
      </c>
      <c r="B664" s="34" t="s">
        <v>45</v>
      </c>
      <c r="C664" s="34" t="s">
        <v>1034</v>
      </c>
      <c r="D664" s="34" t="s">
        <v>565</v>
      </c>
      <c r="E664" s="34" t="s">
        <v>1504</v>
      </c>
      <c r="F664" s="34">
        <v>2.0</v>
      </c>
      <c r="G664" s="34">
        <v>64.0</v>
      </c>
      <c r="H664" s="34" t="s">
        <v>40</v>
      </c>
      <c r="I664" s="34" t="s">
        <v>40</v>
      </c>
      <c r="J664" s="34" t="s">
        <v>1505</v>
      </c>
      <c r="K664" s="34" t="s">
        <v>1506</v>
      </c>
      <c r="L664" s="34" t="s">
        <v>111</v>
      </c>
      <c r="M664" s="35" t="s">
        <v>116</v>
      </c>
      <c r="N664" s="24"/>
      <c r="O664" s="34" t="s">
        <v>29</v>
      </c>
      <c r="P664" s="34">
        <v>64.0</v>
      </c>
      <c r="Q664" s="34">
        <v>2666.0</v>
      </c>
      <c r="R664" s="34" t="s">
        <v>34</v>
      </c>
      <c r="S664" s="34" t="s">
        <v>1225</v>
      </c>
    </row>
    <row r="665" ht="15.75" customHeight="1">
      <c r="A665" s="33">
        <v>45709.094206423615</v>
      </c>
      <c r="B665" s="34" t="s">
        <v>465</v>
      </c>
      <c r="D665" s="34" t="s">
        <v>38</v>
      </c>
      <c r="E665" s="34" t="s">
        <v>1507</v>
      </c>
      <c r="F665" s="34">
        <v>1.0</v>
      </c>
      <c r="G665" s="34">
        <v>18.0</v>
      </c>
      <c r="H665" s="34" t="s">
        <v>40</v>
      </c>
      <c r="I665" s="34" t="s">
        <v>40</v>
      </c>
      <c r="J665" s="34" t="s">
        <v>1508</v>
      </c>
      <c r="K665" s="34" t="s">
        <v>1509</v>
      </c>
      <c r="L665" s="34" t="s">
        <v>111</v>
      </c>
      <c r="M665" s="35" t="s">
        <v>50</v>
      </c>
      <c r="N665" s="24"/>
      <c r="O665" s="34" t="s">
        <v>126</v>
      </c>
      <c r="P665" s="34">
        <v>16.0</v>
      </c>
      <c r="Q665" s="34">
        <v>2666.0</v>
      </c>
      <c r="R665" s="34" t="s">
        <v>34</v>
      </c>
      <c r="S665" s="34" t="s">
        <v>1220</v>
      </c>
    </row>
    <row r="666" ht="15.75" customHeight="1">
      <c r="A666" s="33">
        <v>45709.73030783565</v>
      </c>
      <c r="B666" s="34" t="s">
        <v>36</v>
      </c>
      <c r="C666" s="34" t="s">
        <v>1463</v>
      </c>
      <c r="D666" s="34" t="s">
        <v>27</v>
      </c>
      <c r="E666" s="34" t="s">
        <v>1014</v>
      </c>
      <c r="F666" s="34">
        <v>1.0</v>
      </c>
      <c r="G666" s="34">
        <v>20.0</v>
      </c>
      <c r="H666" s="34" t="s">
        <v>29</v>
      </c>
      <c r="I666" s="34" t="s">
        <v>40</v>
      </c>
      <c r="K666" s="34" t="s">
        <v>1510</v>
      </c>
      <c r="L666" s="34" t="s">
        <v>1156</v>
      </c>
      <c r="M666" s="37" t="s">
        <v>1511</v>
      </c>
      <c r="N666" s="37" t="s">
        <v>1512</v>
      </c>
      <c r="O666" s="34" t="s">
        <v>40</v>
      </c>
      <c r="P666" s="34">
        <v>16.0</v>
      </c>
      <c r="Q666" s="34">
        <v>3200.0</v>
      </c>
      <c r="R666" s="34" t="s">
        <v>34</v>
      </c>
      <c r="S666" s="34" t="s">
        <v>1225</v>
      </c>
    </row>
    <row r="667" ht="15.75" customHeight="1">
      <c r="A667" s="33">
        <v>45709.81007479166</v>
      </c>
      <c r="B667" s="34" t="s">
        <v>2</v>
      </c>
      <c r="C667" s="34" t="s">
        <v>1463</v>
      </c>
      <c r="D667" s="34" t="s">
        <v>38</v>
      </c>
      <c r="E667" s="34" t="s">
        <v>389</v>
      </c>
      <c r="F667" s="34">
        <v>2.0</v>
      </c>
      <c r="G667" s="34">
        <v>32.0</v>
      </c>
      <c r="H667" s="34" t="s">
        <v>29</v>
      </c>
      <c r="I667" s="34" t="s">
        <v>40</v>
      </c>
      <c r="K667" s="34" t="s">
        <v>1513</v>
      </c>
      <c r="L667" s="34" t="s">
        <v>136</v>
      </c>
      <c r="M667" s="35" t="s">
        <v>137</v>
      </c>
      <c r="N667" s="24"/>
      <c r="O667" s="34" t="s">
        <v>40</v>
      </c>
      <c r="P667" s="34">
        <v>16.0</v>
      </c>
      <c r="Q667" s="34">
        <v>3200.0</v>
      </c>
      <c r="R667" s="34" t="s">
        <v>34</v>
      </c>
    </row>
    <row r="668" ht="15.75" customHeight="1">
      <c r="A668" s="33">
        <v>45709.94971065973</v>
      </c>
      <c r="B668" s="34" t="s">
        <v>124</v>
      </c>
      <c r="C668" s="34" t="s">
        <v>1463</v>
      </c>
      <c r="D668" s="34" t="s">
        <v>71</v>
      </c>
      <c r="E668" s="34" t="s">
        <v>345</v>
      </c>
      <c r="F668" s="34">
        <v>1.0</v>
      </c>
      <c r="G668" s="34">
        <v>18.0</v>
      </c>
      <c r="H668" s="34" t="s">
        <v>29</v>
      </c>
      <c r="I668" s="34" t="s">
        <v>40</v>
      </c>
      <c r="J668" s="34" t="s">
        <v>1514</v>
      </c>
      <c r="K668" s="34" t="s">
        <v>1299</v>
      </c>
      <c r="L668" s="34" t="s">
        <v>111</v>
      </c>
      <c r="M668" s="35" t="s">
        <v>50</v>
      </c>
      <c r="N668" s="37" t="s">
        <v>1515</v>
      </c>
      <c r="O668" s="34" t="s">
        <v>40</v>
      </c>
      <c r="P668" s="34">
        <v>16.0</v>
      </c>
      <c r="Q668" s="34">
        <v>2666.0</v>
      </c>
      <c r="R668" s="34" t="s">
        <v>34</v>
      </c>
      <c r="S668" s="34" t="s">
        <v>1225</v>
      </c>
    </row>
    <row r="669" ht="15.75" customHeight="1">
      <c r="A669" s="33">
        <v>45712.888690162035</v>
      </c>
      <c r="B669" s="34" t="s">
        <v>61</v>
      </c>
      <c r="C669" s="34" t="s">
        <v>1516</v>
      </c>
      <c r="D669" s="34" t="s">
        <v>119</v>
      </c>
      <c r="E669" s="34" t="s">
        <v>1049</v>
      </c>
      <c r="F669" s="34">
        <v>2.0</v>
      </c>
      <c r="G669" s="34">
        <v>16.0</v>
      </c>
      <c r="H669" s="34" t="s">
        <v>40</v>
      </c>
      <c r="I669" s="34" t="s">
        <v>40</v>
      </c>
      <c r="K669" s="34" t="s">
        <v>1517</v>
      </c>
      <c r="L669" s="34" t="s">
        <v>611</v>
      </c>
      <c r="M669" s="37" t="s">
        <v>1518</v>
      </c>
      <c r="N669" s="24"/>
      <c r="O669" s="34" t="s">
        <v>126</v>
      </c>
      <c r="P669" s="34">
        <v>8.0</v>
      </c>
      <c r="Q669" s="34">
        <v>1866.0</v>
      </c>
      <c r="R669" s="34" t="s">
        <v>1219</v>
      </c>
      <c r="S669" s="34" t="s">
        <v>1220</v>
      </c>
    </row>
    <row r="670" ht="15.75" customHeight="1">
      <c r="A670" s="33">
        <v>45713.412549201385</v>
      </c>
      <c r="B670" s="34" t="s">
        <v>298</v>
      </c>
      <c r="C670" s="34" t="s">
        <v>1336</v>
      </c>
      <c r="D670" s="34" t="s">
        <v>27</v>
      </c>
      <c r="E670" s="34" t="s">
        <v>1115</v>
      </c>
      <c r="F670" s="34">
        <v>2.0</v>
      </c>
      <c r="G670" s="34">
        <v>16.0</v>
      </c>
      <c r="H670" s="34" t="s">
        <v>40</v>
      </c>
      <c r="J670" s="34" t="s">
        <v>1519</v>
      </c>
      <c r="K670" s="34" t="s">
        <v>1520</v>
      </c>
      <c r="L670" s="34" t="s">
        <v>611</v>
      </c>
      <c r="M670" s="37" t="s">
        <v>612</v>
      </c>
      <c r="N670" s="24"/>
      <c r="O670" s="34" t="s">
        <v>40</v>
      </c>
      <c r="P670" s="34">
        <v>8.0</v>
      </c>
      <c r="Q670" s="34">
        <v>1866.0</v>
      </c>
      <c r="R670" s="34" t="s">
        <v>1219</v>
      </c>
      <c r="S670" s="34" t="s">
        <v>1225</v>
      </c>
    </row>
    <row r="671" ht="15.75" customHeight="1">
      <c r="A671" s="33">
        <v>45714.15417891204</v>
      </c>
      <c r="B671" s="34" t="s">
        <v>118</v>
      </c>
      <c r="C671" s="34" t="s">
        <v>1324</v>
      </c>
      <c r="D671" s="34" t="s">
        <v>38</v>
      </c>
      <c r="E671" s="34" t="s">
        <v>1521</v>
      </c>
      <c r="F671" s="34">
        <v>1.0</v>
      </c>
      <c r="G671" s="34">
        <v>10.0</v>
      </c>
      <c r="H671" s="34" t="s">
        <v>29</v>
      </c>
      <c r="I671" s="34" t="s">
        <v>40</v>
      </c>
      <c r="J671" s="34" t="s">
        <v>1522</v>
      </c>
      <c r="K671" s="34" t="s">
        <v>1326</v>
      </c>
      <c r="L671" s="34" t="s">
        <v>111</v>
      </c>
      <c r="M671" s="35" t="s">
        <v>116</v>
      </c>
      <c r="N671" s="24"/>
      <c r="O671" s="34" t="s">
        <v>40</v>
      </c>
      <c r="P671" s="34">
        <v>8.0</v>
      </c>
      <c r="Q671" s="34">
        <v>3200.0</v>
      </c>
      <c r="R671" s="34" t="s">
        <v>34</v>
      </c>
      <c r="S671" s="34" t="s">
        <v>1217</v>
      </c>
    </row>
    <row r="672" ht="15.75" customHeight="1">
      <c r="A672" s="33">
        <v>45715.54764528935</v>
      </c>
      <c r="B672" s="34" t="s">
        <v>298</v>
      </c>
      <c r="C672" s="34" t="s">
        <v>1463</v>
      </c>
      <c r="D672" s="34" t="s">
        <v>716</v>
      </c>
      <c r="E672" s="34" t="s">
        <v>1481</v>
      </c>
      <c r="F672" s="34">
        <v>2.0</v>
      </c>
      <c r="G672" s="34">
        <v>16.0</v>
      </c>
      <c r="H672" s="34" t="s">
        <v>29</v>
      </c>
      <c r="I672" s="34" t="s">
        <v>40</v>
      </c>
      <c r="K672" s="34" t="s">
        <v>1523</v>
      </c>
      <c r="L672" s="34" t="s">
        <v>1524</v>
      </c>
      <c r="M672" s="37" t="s">
        <v>210</v>
      </c>
      <c r="N672" s="37" t="s">
        <v>1525</v>
      </c>
      <c r="O672" s="34" t="s">
        <v>40</v>
      </c>
      <c r="P672" s="34">
        <v>8.0</v>
      </c>
      <c r="Q672" s="34">
        <v>1600.0</v>
      </c>
      <c r="R672" s="34" t="s">
        <v>1219</v>
      </c>
      <c r="S672" s="34" t="s">
        <v>1225</v>
      </c>
    </row>
    <row r="673" ht="15.75" customHeight="1">
      <c r="A673" s="33">
        <v>45715.55409690972</v>
      </c>
      <c r="B673" s="34" t="s">
        <v>1526</v>
      </c>
      <c r="C673" s="34" t="s">
        <v>1463</v>
      </c>
      <c r="D673" s="34" t="s">
        <v>38</v>
      </c>
      <c r="E673" s="34" t="s">
        <v>368</v>
      </c>
      <c r="F673" s="34">
        <v>1.0</v>
      </c>
      <c r="G673" s="34">
        <v>18.0</v>
      </c>
      <c r="H673" s="34" t="s">
        <v>29</v>
      </c>
      <c r="I673" s="34" t="s">
        <v>40</v>
      </c>
      <c r="K673" s="34" t="s">
        <v>1527</v>
      </c>
      <c r="L673" s="34" t="s">
        <v>585</v>
      </c>
      <c r="M673" s="35" t="s">
        <v>1528</v>
      </c>
      <c r="N673" s="37" t="s">
        <v>814</v>
      </c>
      <c r="O673" s="34" t="s">
        <v>40</v>
      </c>
      <c r="P673" s="34">
        <v>16.0</v>
      </c>
      <c r="Q673" s="34">
        <v>3200.0</v>
      </c>
      <c r="R673" s="34" t="s">
        <v>34</v>
      </c>
      <c r="S673" s="34" t="s">
        <v>1220</v>
      </c>
    </row>
    <row r="674" ht="15.75" customHeight="1">
      <c r="A674" s="33">
        <v>45717.80434293981</v>
      </c>
      <c r="B674" s="34" t="s">
        <v>2</v>
      </c>
      <c r="C674" s="34" t="s">
        <v>1463</v>
      </c>
      <c r="D674" s="34" t="s">
        <v>27</v>
      </c>
      <c r="E674" s="34" t="s">
        <v>1529</v>
      </c>
      <c r="F674" s="34">
        <v>2.0</v>
      </c>
      <c r="G674" s="34">
        <v>64.0</v>
      </c>
      <c r="H674" s="34" t="s">
        <v>29</v>
      </c>
      <c r="I674" s="34" t="s">
        <v>40</v>
      </c>
      <c r="K674" s="34" t="s">
        <v>1530</v>
      </c>
      <c r="L674" s="34" t="s">
        <v>103</v>
      </c>
      <c r="M674" s="37" t="s">
        <v>210</v>
      </c>
      <c r="N674" s="24"/>
      <c r="O674" s="34" t="s">
        <v>40</v>
      </c>
      <c r="P674" s="34">
        <v>32.0</v>
      </c>
      <c r="Q674" s="34">
        <v>3200.0</v>
      </c>
      <c r="R674" s="34" t="s">
        <v>34</v>
      </c>
      <c r="S674" s="34" t="s">
        <v>1225</v>
      </c>
    </row>
    <row r="675" ht="15.75" customHeight="1">
      <c r="A675" s="33">
        <v>45719.80619771991</v>
      </c>
      <c r="B675" s="34" t="s">
        <v>2</v>
      </c>
      <c r="C675" s="34" t="s">
        <v>1463</v>
      </c>
      <c r="D675" s="34" t="s">
        <v>27</v>
      </c>
      <c r="E675" s="34" t="s">
        <v>1531</v>
      </c>
      <c r="F675" s="34">
        <v>2.0</v>
      </c>
      <c r="G675" s="34">
        <v>32.0</v>
      </c>
      <c r="H675" s="34" t="s">
        <v>29</v>
      </c>
      <c r="I675" s="34" t="s">
        <v>40</v>
      </c>
      <c r="K675" s="34" t="s">
        <v>1532</v>
      </c>
      <c r="L675" s="34" t="s">
        <v>111</v>
      </c>
      <c r="M675" s="35" t="s">
        <v>574</v>
      </c>
      <c r="N675" s="37" t="s">
        <v>1533</v>
      </c>
      <c r="O675" s="34" t="s">
        <v>29</v>
      </c>
      <c r="P675" s="34">
        <v>16.0</v>
      </c>
      <c r="Q675" s="34">
        <v>2666.0</v>
      </c>
      <c r="R675" s="34" t="s">
        <v>34</v>
      </c>
      <c r="S675" s="34" t="s">
        <v>1225</v>
      </c>
    </row>
    <row r="676" ht="15.75" customHeight="1">
      <c r="A676" s="33">
        <v>45720.67049046296</v>
      </c>
      <c r="B676" s="34" t="s">
        <v>138</v>
      </c>
      <c r="C676" s="34" t="s">
        <v>1463</v>
      </c>
      <c r="D676" s="34" t="s">
        <v>86</v>
      </c>
      <c r="E676" s="34" t="s">
        <v>1534</v>
      </c>
      <c r="F676" s="34">
        <v>2.0</v>
      </c>
      <c r="G676" s="34">
        <v>32.0</v>
      </c>
      <c r="H676" s="34" t="s">
        <v>29</v>
      </c>
      <c r="I676" s="34" t="s">
        <v>40</v>
      </c>
      <c r="J676" s="34" t="s">
        <v>1535</v>
      </c>
      <c r="K676" s="34" t="s">
        <v>1536</v>
      </c>
      <c r="L676" s="34" t="s">
        <v>538</v>
      </c>
      <c r="M676" s="35" t="s">
        <v>1537</v>
      </c>
      <c r="N676" s="24"/>
      <c r="O676" s="34" t="s">
        <v>40</v>
      </c>
      <c r="P676" s="34">
        <v>16.0</v>
      </c>
      <c r="Q676" s="34">
        <v>2666.0</v>
      </c>
      <c r="R676" s="34" t="s">
        <v>34</v>
      </c>
      <c r="S676" s="34" t="s">
        <v>1220</v>
      </c>
    </row>
    <row r="677" ht="15.75" customHeight="1">
      <c r="A677" s="33">
        <v>45721.254365243054</v>
      </c>
      <c r="B677" s="34" t="s">
        <v>2</v>
      </c>
      <c r="C677" s="34" t="s">
        <v>1463</v>
      </c>
      <c r="D677" s="34" t="s">
        <v>38</v>
      </c>
      <c r="E677" s="34" t="s">
        <v>368</v>
      </c>
      <c r="F677" s="34">
        <v>1.0</v>
      </c>
      <c r="G677" s="34">
        <v>20.0</v>
      </c>
      <c r="H677" s="34" t="s">
        <v>29</v>
      </c>
      <c r="I677" s="34" t="s">
        <v>40</v>
      </c>
      <c r="K677" s="34" t="s">
        <v>1538</v>
      </c>
      <c r="L677" s="34" t="s">
        <v>1211</v>
      </c>
      <c r="M677" s="37" t="s">
        <v>1157</v>
      </c>
      <c r="N677" s="37" t="s">
        <v>1539</v>
      </c>
      <c r="O677" s="34" t="s">
        <v>40</v>
      </c>
      <c r="P677" s="34">
        <v>16.0</v>
      </c>
      <c r="Q677" s="34">
        <v>3200.0</v>
      </c>
      <c r="R677" s="34" t="s">
        <v>34</v>
      </c>
      <c r="S677" s="34" t="s">
        <v>1220</v>
      </c>
    </row>
    <row r="678" ht="15.75" customHeight="1">
      <c r="A678" s="33">
        <v>45722.44169935185</v>
      </c>
      <c r="B678" s="34" t="s">
        <v>2</v>
      </c>
      <c r="C678" s="34" t="s">
        <v>1141</v>
      </c>
      <c r="D678" s="34" t="s">
        <v>27</v>
      </c>
      <c r="E678" s="34" t="s">
        <v>1540</v>
      </c>
      <c r="F678" s="34">
        <v>1.0</v>
      </c>
      <c r="G678" s="34">
        <v>36.0</v>
      </c>
      <c r="H678" s="34" t="s">
        <v>29</v>
      </c>
      <c r="I678" s="34" t="s">
        <v>40</v>
      </c>
      <c r="K678" s="34" t="s">
        <v>1541</v>
      </c>
      <c r="M678" s="24"/>
      <c r="N678" s="24"/>
      <c r="O678" s="34" t="s">
        <v>29</v>
      </c>
      <c r="P678" s="34">
        <v>32.0</v>
      </c>
      <c r="Q678" s="34">
        <v>3200.0</v>
      </c>
      <c r="R678" s="34" t="s">
        <v>34</v>
      </c>
      <c r="S678" s="34" t="s">
        <v>1225</v>
      </c>
    </row>
    <row r="679" ht="15.75" customHeight="1">
      <c r="A679" s="33">
        <v>45722.869847291666</v>
      </c>
      <c r="B679" s="34" t="s">
        <v>2</v>
      </c>
      <c r="C679" s="34" t="s">
        <v>1463</v>
      </c>
      <c r="D679" s="34" t="s">
        <v>27</v>
      </c>
      <c r="E679" s="34" t="s">
        <v>28</v>
      </c>
      <c r="F679" s="34">
        <v>2.0</v>
      </c>
      <c r="G679" s="34">
        <v>20.0</v>
      </c>
      <c r="H679" s="34" t="s">
        <v>29</v>
      </c>
      <c r="I679" s="34" t="s">
        <v>40</v>
      </c>
      <c r="J679" s="34" t="s">
        <v>1542</v>
      </c>
      <c r="K679" s="34" t="s">
        <v>1299</v>
      </c>
      <c r="L679" s="34" t="s">
        <v>436</v>
      </c>
      <c r="M679" s="35" t="s">
        <v>1207</v>
      </c>
      <c r="N679" s="24"/>
      <c r="O679" s="34" t="s">
        <v>29</v>
      </c>
      <c r="P679" s="34">
        <v>16.0</v>
      </c>
      <c r="Q679" s="34">
        <v>2666.0</v>
      </c>
      <c r="R679" s="34" t="s">
        <v>34</v>
      </c>
      <c r="S679" s="34" t="s">
        <v>1225</v>
      </c>
    </row>
    <row r="680" ht="15.75" customHeight="1">
      <c r="A680" s="33">
        <v>45723.29972299769</v>
      </c>
      <c r="B680" s="34" t="s">
        <v>465</v>
      </c>
      <c r="C680" s="34" t="s">
        <v>1463</v>
      </c>
      <c r="D680" s="34" t="s">
        <v>119</v>
      </c>
      <c r="E680" s="34" t="s">
        <v>120</v>
      </c>
      <c r="F680" s="34">
        <v>1.0</v>
      </c>
      <c r="G680" s="34">
        <v>10.0</v>
      </c>
      <c r="H680" s="34" t="s">
        <v>29</v>
      </c>
      <c r="I680" s="34" t="s">
        <v>40</v>
      </c>
      <c r="K680" s="34" t="s">
        <v>1543</v>
      </c>
      <c r="L680" s="34" t="s">
        <v>608</v>
      </c>
      <c r="M680" s="35" t="s">
        <v>1544</v>
      </c>
      <c r="N680" s="24"/>
      <c r="O680" s="34" t="s">
        <v>40</v>
      </c>
      <c r="P680" s="34">
        <v>8.0</v>
      </c>
      <c r="Q680" s="34">
        <v>2666.0</v>
      </c>
      <c r="R680" s="34" t="s">
        <v>34</v>
      </c>
      <c r="S680" s="34" t="s">
        <v>1217</v>
      </c>
    </row>
    <row r="681" ht="15.75" customHeight="1">
      <c r="A681" s="33">
        <v>45725.701829108795</v>
      </c>
      <c r="B681" s="34" t="s">
        <v>2</v>
      </c>
      <c r="C681" s="34" t="s">
        <v>1463</v>
      </c>
      <c r="D681" s="34" t="s">
        <v>1545</v>
      </c>
      <c r="E681" s="34" t="s">
        <v>1546</v>
      </c>
      <c r="F681" s="34">
        <v>2.0</v>
      </c>
      <c r="G681" s="34">
        <v>64.0</v>
      </c>
      <c r="H681" s="34" t="s">
        <v>29</v>
      </c>
      <c r="I681" s="34" t="s">
        <v>40</v>
      </c>
      <c r="J681" s="34" t="s">
        <v>1547</v>
      </c>
      <c r="K681" s="34" t="s">
        <v>1548</v>
      </c>
      <c r="L681" s="34" t="s">
        <v>111</v>
      </c>
      <c r="M681" s="37" t="s">
        <v>418</v>
      </c>
      <c r="N681" s="37" t="s">
        <v>1549</v>
      </c>
      <c r="O681" s="34" t="s">
        <v>29</v>
      </c>
      <c r="P681" s="34">
        <v>32.0</v>
      </c>
      <c r="Q681" s="34">
        <v>2666.0</v>
      </c>
      <c r="R681" s="34" t="s">
        <v>34</v>
      </c>
      <c r="S681" s="34" t="s">
        <v>1225</v>
      </c>
    </row>
    <row r="682" ht="15.75" customHeight="1">
      <c r="A682" s="33">
        <v>45726.72744458333</v>
      </c>
      <c r="B682" s="34" t="s">
        <v>465</v>
      </c>
      <c r="C682" s="34" t="s">
        <v>1463</v>
      </c>
      <c r="D682" s="34" t="s">
        <v>71</v>
      </c>
      <c r="E682" s="34" t="s">
        <v>345</v>
      </c>
      <c r="F682" s="34">
        <v>1.0</v>
      </c>
      <c r="G682" s="34">
        <v>18.0</v>
      </c>
      <c r="H682" s="34" t="s">
        <v>29</v>
      </c>
      <c r="I682" s="34" t="s">
        <v>40</v>
      </c>
      <c r="K682" s="34" t="s">
        <v>1234</v>
      </c>
      <c r="L682" s="34" t="s">
        <v>111</v>
      </c>
      <c r="M682" s="37" t="s">
        <v>210</v>
      </c>
      <c r="N682" s="24"/>
      <c r="O682" s="34" t="s">
        <v>40</v>
      </c>
      <c r="P682" s="34">
        <v>16.0</v>
      </c>
      <c r="Q682" s="34">
        <v>2666.0</v>
      </c>
      <c r="R682" s="34" t="s">
        <v>34</v>
      </c>
      <c r="S682" s="34" t="s">
        <v>1225</v>
      </c>
    </row>
    <row r="683" ht="15.75" customHeight="1">
      <c r="A683" s="33">
        <v>45727.576860347224</v>
      </c>
      <c r="B683" s="34" t="s">
        <v>36</v>
      </c>
      <c r="C683" s="34" t="s">
        <v>419</v>
      </c>
      <c r="D683" s="34" t="s">
        <v>27</v>
      </c>
      <c r="E683" s="34" t="s">
        <v>212</v>
      </c>
      <c r="F683" s="34">
        <v>1.0</v>
      </c>
      <c r="G683" s="34">
        <v>20.0</v>
      </c>
      <c r="H683" s="34" t="s">
        <v>29</v>
      </c>
      <c r="I683" s="34" t="s">
        <v>40</v>
      </c>
      <c r="K683" s="34" t="s">
        <v>1550</v>
      </c>
      <c r="L683" s="34" t="s">
        <v>140</v>
      </c>
      <c r="M683" s="35" t="s">
        <v>1551</v>
      </c>
      <c r="N683" s="37" t="s">
        <v>1552</v>
      </c>
      <c r="O683" s="34" t="s">
        <v>40</v>
      </c>
      <c r="P683" s="34">
        <v>16.0</v>
      </c>
      <c r="Q683" s="34">
        <v>2666.0</v>
      </c>
      <c r="R683" s="34" t="s">
        <v>34</v>
      </c>
      <c r="S683" s="34" t="s">
        <v>1225</v>
      </c>
    </row>
    <row r="684" ht="15.75" customHeight="1">
      <c r="A684" s="33">
        <v>45730.82427711805</v>
      </c>
      <c r="B684" s="34" t="s">
        <v>1553</v>
      </c>
      <c r="C684" s="34" t="s">
        <v>1554</v>
      </c>
      <c r="D684" s="34" t="s">
        <v>63</v>
      </c>
      <c r="E684" s="34" t="s">
        <v>1555</v>
      </c>
      <c r="F684" s="34">
        <v>1.0</v>
      </c>
      <c r="G684" s="34">
        <v>8.0</v>
      </c>
      <c r="H684" s="34" t="s">
        <v>29</v>
      </c>
      <c r="I684" s="34" t="s">
        <v>40</v>
      </c>
      <c r="K684" s="34" t="s">
        <v>1556</v>
      </c>
      <c r="L684" s="34" t="s">
        <v>111</v>
      </c>
      <c r="M684" s="37" t="s">
        <v>210</v>
      </c>
      <c r="N684" s="24"/>
      <c r="O684" s="34" t="s">
        <v>40</v>
      </c>
      <c r="P684" s="34">
        <v>8.0</v>
      </c>
      <c r="Q684" s="34">
        <v>1600.0</v>
      </c>
      <c r="R684" s="34" t="s">
        <v>1219</v>
      </c>
      <c r="S684" s="34" t="s">
        <v>1225</v>
      </c>
    </row>
    <row r="685" ht="15.75" customHeight="1">
      <c r="A685" s="33">
        <v>45733.512352199075</v>
      </c>
      <c r="B685" s="34" t="s">
        <v>465</v>
      </c>
      <c r="C685" s="34" t="s">
        <v>1463</v>
      </c>
      <c r="D685" s="34" t="s">
        <v>38</v>
      </c>
      <c r="E685" s="34" t="s">
        <v>368</v>
      </c>
      <c r="F685" s="34">
        <v>1.0</v>
      </c>
      <c r="G685" s="34">
        <v>18.0</v>
      </c>
      <c r="H685" s="34" t="s">
        <v>29</v>
      </c>
      <c r="I685" s="34" t="s">
        <v>40</v>
      </c>
      <c r="K685" s="34" t="s">
        <v>1557</v>
      </c>
      <c r="L685" s="34" t="s">
        <v>140</v>
      </c>
      <c r="M685" s="37" t="s">
        <v>1558</v>
      </c>
      <c r="N685" s="24"/>
      <c r="O685" s="34" t="s">
        <v>40</v>
      </c>
      <c r="P685" s="34">
        <v>16.0</v>
      </c>
      <c r="Q685" s="34">
        <v>3200.0</v>
      </c>
      <c r="R685" s="34" t="s">
        <v>34</v>
      </c>
      <c r="S685" s="34" t="s">
        <v>1217</v>
      </c>
    </row>
    <row r="686" ht="15.75" customHeight="1">
      <c r="A686" s="33">
        <v>45733.838089826386</v>
      </c>
      <c r="B686" s="34" t="s">
        <v>288</v>
      </c>
      <c r="C686" s="34" t="s">
        <v>1463</v>
      </c>
      <c r="D686" s="34" t="s">
        <v>27</v>
      </c>
      <c r="E686" s="34" t="s">
        <v>212</v>
      </c>
      <c r="F686" s="34">
        <v>1.0</v>
      </c>
      <c r="G686" s="34">
        <v>18.0</v>
      </c>
      <c r="H686" s="34" t="s">
        <v>29</v>
      </c>
      <c r="I686" s="34" t="s">
        <v>40</v>
      </c>
      <c r="K686" s="34" t="s">
        <v>1559</v>
      </c>
      <c r="L686" s="34" t="s">
        <v>239</v>
      </c>
      <c r="M686" s="37" t="s">
        <v>1560</v>
      </c>
      <c r="N686" s="24"/>
      <c r="O686" s="34" t="s">
        <v>40</v>
      </c>
      <c r="P686" s="34">
        <v>16.0</v>
      </c>
      <c r="Q686" s="34">
        <v>2666.0</v>
      </c>
      <c r="R686" s="34" t="s">
        <v>34</v>
      </c>
      <c r="S686" s="34" t="s">
        <v>1225</v>
      </c>
    </row>
    <row r="687" ht="15.75" customHeight="1">
      <c r="A687" s="33">
        <v>45735.26973396991</v>
      </c>
      <c r="B687" s="34" t="s">
        <v>465</v>
      </c>
      <c r="C687" s="34" t="s">
        <v>1463</v>
      </c>
      <c r="D687" s="34" t="s">
        <v>119</v>
      </c>
      <c r="E687" s="34" t="s">
        <v>473</v>
      </c>
      <c r="F687" s="34">
        <v>1.0</v>
      </c>
      <c r="G687" s="34">
        <v>18.0</v>
      </c>
      <c r="H687" s="34" t="s">
        <v>40</v>
      </c>
      <c r="J687" s="34" t="s">
        <v>1561</v>
      </c>
      <c r="K687" s="34" t="s">
        <v>1562</v>
      </c>
      <c r="L687" s="34" t="s">
        <v>271</v>
      </c>
      <c r="M687" s="37" t="s">
        <v>961</v>
      </c>
      <c r="N687" s="24"/>
      <c r="O687" s="34" t="s">
        <v>40</v>
      </c>
      <c r="P687" s="34">
        <v>16.0</v>
      </c>
      <c r="Q687" s="34">
        <v>2666.0</v>
      </c>
      <c r="R687" s="34" t="s">
        <v>34</v>
      </c>
      <c r="S687" s="34" t="s">
        <v>1225</v>
      </c>
    </row>
    <row r="688" ht="15.75" customHeight="1">
      <c r="A688" s="33">
        <v>45735.61499099537</v>
      </c>
      <c r="B688" s="34" t="s">
        <v>138</v>
      </c>
      <c r="C688" s="34" t="s">
        <v>1563</v>
      </c>
      <c r="D688" s="34" t="s">
        <v>27</v>
      </c>
      <c r="E688" s="34" t="s">
        <v>199</v>
      </c>
      <c r="F688" s="34">
        <v>1.0</v>
      </c>
      <c r="G688" s="34">
        <v>32.0</v>
      </c>
      <c r="H688" s="34" t="s">
        <v>29</v>
      </c>
      <c r="I688" s="34" t="s">
        <v>40</v>
      </c>
      <c r="K688" s="34" t="s">
        <v>1564</v>
      </c>
      <c r="M688" s="24"/>
      <c r="N688" s="37" t="s">
        <v>1565</v>
      </c>
      <c r="O688" s="34" t="s">
        <v>29</v>
      </c>
      <c r="P688" s="34">
        <v>32.0</v>
      </c>
      <c r="Q688" s="34">
        <v>3200.0</v>
      </c>
      <c r="R688" s="34" t="s">
        <v>34</v>
      </c>
      <c r="S688" s="34" t="s">
        <v>1225</v>
      </c>
    </row>
    <row r="689" ht="15.75" customHeight="1">
      <c r="A689" s="33">
        <v>45737.67030400463</v>
      </c>
      <c r="B689" s="34" t="s">
        <v>465</v>
      </c>
      <c r="C689" s="34" t="s">
        <v>1463</v>
      </c>
      <c r="D689" s="34" t="s">
        <v>27</v>
      </c>
      <c r="E689" s="34" t="s">
        <v>329</v>
      </c>
      <c r="F689" s="34">
        <v>1.0</v>
      </c>
      <c r="G689" s="34">
        <v>10.0</v>
      </c>
      <c r="H689" s="34" t="s">
        <v>29</v>
      </c>
      <c r="I689" s="34" t="s">
        <v>40</v>
      </c>
      <c r="K689" s="34" t="s">
        <v>987</v>
      </c>
      <c r="L689" s="34" t="s">
        <v>608</v>
      </c>
      <c r="M689" s="35" t="s">
        <v>1566</v>
      </c>
      <c r="N689" s="24"/>
      <c r="O689" s="34" t="s">
        <v>40</v>
      </c>
      <c r="P689" s="34">
        <v>8.0</v>
      </c>
      <c r="Q689" s="34">
        <v>2666.0</v>
      </c>
      <c r="R689" s="34" t="s">
        <v>34</v>
      </c>
      <c r="S689" s="34" t="s">
        <v>1217</v>
      </c>
    </row>
    <row r="690" ht="15.75" customHeight="1">
      <c r="A690" s="33">
        <v>45737.81987003473</v>
      </c>
      <c r="B690" s="34" t="s">
        <v>288</v>
      </c>
      <c r="C690" s="34" t="s">
        <v>1463</v>
      </c>
      <c r="D690" s="34" t="s">
        <v>119</v>
      </c>
      <c r="E690" s="34" t="s">
        <v>473</v>
      </c>
      <c r="F690" s="34">
        <v>1.0</v>
      </c>
      <c r="G690" s="34">
        <v>18.0</v>
      </c>
      <c r="H690" s="34" t="s">
        <v>29</v>
      </c>
      <c r="I690" s="34" t="s">
        <v>40</v>
      </c>
      <c r="K690" s="34" t="s">
        <v>1299</v>
      </c>
      <c r="L690" s="34" t="s">
        <v>103</v>
      </c>
      <c r="M690" s="35" t="s">
        <v>122</v>
      </c>
      <c r="N690" s="24"/>
      <c r="O690" s="34" t="s">
        <v>40</v>
      </c>
      <c r="P690" s="34">
        <v>16.0</v>
      </c>
      <c r="Q690" s="34">
        <v>2666.0</v>
      </c>
      <c r="R690" s="34" t="s">
        <v>34</v>
      </c>
      <c r="S690" s="34" t="s">
        <v>1220</v>
      </c>
    </row>
    <row r="691" ht="15.75" customHeight="1">
      <c r="A691" s="33">
        <v>45737.8561037037</v>
      </c>
      <c r="B691" s="34" t="s">
        <v>118</v>
      </c>
      <c r="C691" s="34" t="s">
        <v>1463</v>
      </c>
      <c r="D691" s="34" t="s">
        <v>119</v>
      </c>
      <c r="E691" s="34" t="s">
        <v>120</v>
      </c>
      <c r="F691" s="34">
        <v>1.0</v>
      </c>
      <c r="G691" s="34">
        <v>10.0</v>
      </c>
      <c r="H691" s="34" t="s">
        <v>29</v>
      </c>
      <c r="I691" s="34" t="s">
        <v>29</v>
      </c>
      <c r="K691" s="34" t="s">
        <v>1567</v>
      </c>
      <c r="L691" s="34" t="s">
        <v>140</v>
      </c>
      <c r="M691" s="24"/>
      <c r="N691" s="24"/>
      <c r="O691" s="34" t="s">
        <v>40</v>
      </c>
      <c r="P691" s="34">
        <v>8.0</v>
      </c>
      <c r="Q691" s="34">
        <v>2666.0</v>
      </c>
      <c r="R691" s="34" t="s">
        <v>34</v>
      </c>
      <c r="S691" s="34" t="s">
        <v>1220</v>
      </c>
    </row>
    <row r="692" ht="15.75" customHeight="1">
      <c r="A692" s="33">
        <v>45738.59567761574</v>
      </c>
      <c r="B692" s="34" t="s">
        <v>465</v>
      </c>
      <c r="C692" s="34" t="s">
        <v>1463</v>
      </c>
      <c r="D692" s="34" t="s">
        <v>71</v>
      </c>
      <c r="E692" s="34" t="s">
        <v>345</v>
      </c>
      <c r="F692" s="34">
        <v>1.0</v>
      </c>
      <c r="G692" s="34">
        <v>18.0</v>
      </c>
      <c r="H692" s="34" t="s">
        <v>40</v>
      </c>
      <c r="I692" s="34" t="s">
        <v>40</v>
      </c>
      <c r="J692" s="34" t="s">
        <v>1568</v>
      </c>
      <c r="K692" s="34" t="s">
        <v>1569</v>
      </c>
      <c r="L692" s="34" t="s">
        <v>93</v>
      </c>
      <c r="M692" s="35" t="s">
        <v>225</v>
      </c>
      <c r="N692" s="24"/>
      <c r="O692" s="34" t="s">
        <v>40</v>
      </c>
      <c r="P692" s="34">
        <v>16.0</v>
      </c>
      <c r="Q692" s="34">
        <v>2666.0</v>
      </c>
      <c r="R692" s="34" t="s">
        <v>34</v>
      </c>
      <c r="S692" s="34" t="s">
        <v>1225</v>
      </c>
    </row>
    <row r="693" ht="15.75" customHeight="1">
      <c r="A693" s="33">
        <v>45741.499028391205</v>
      </c>
      <c r="B693" s="34" t="s">
        <v>61</v>
      </c>
      <c r="C693" s="34" t="s">
        <v>1570</v>
      </c>
      <c r="D693" s="34" t="s">
        <v>71</v>
      </c>
      <c r="E693" s="34" t="s">
        <v>1231</v>
      </c>
      <c r="F693" s="34">
        <v>2.0</v>
      </c>
      <c r="G693" s="34">
        <v>16.0</v>
      </c>
      <c r="H693" s="34" t="s">
        <v>40</v>
      </c>
      <c r="I693" s="34" t="s">
        <v>40</v>
      </c>
      <c r="J693" s="34" t="s">
        <v>1571</v>
      </c>
      <c r="K693" s="34" t="s">
        <v>1572</v>
      </c>
      <c r="L693" s="34" t="s">
        <v>186</v>
      </c>
      <c r="M693" s="35" t="s">
        <v>50</v>
      </c>
      <c r="N693" s="24"/>
      <c r="O693" s="34" t="s">
        <v>126</v>
      </c>
      <c r="P693" s="34">
        <v>8.0</v>
      </c>
      <c r="Q693" s="34">
        <v>1866.0</v>
      </c>
      <c r="R693" s="34" t="s">
        <v>1219</v>
      </c>
      <c r="S693" s="34" t="s">
        <v>1225</v>
      </c>
    </row>
    <row r="694" ht="15.75" customHeight="1">
      <c r="A694" s="33">
        <v>45741.49994444444</v>
      </c>
      <c r="B694" s="34" t="s">
        <v>61</v>
      </c>
      <c r="C694" s="34" t="s">
        <v>1570</v>
      </c>
      <c r="D694" s="34" t="s">
        <v>38</v>
      </c>
      <c r="E694" s="34" t="s">
        <v>83</v>
      </c>
      <c r="F694" s="34">
        <v>2.0</v>
      </c>
      <c r="G694" s="34">
        <v>16.0</v>
      </c>
      <c r="H694" s="34" t="s">
        <v>40</v>
      </c>
      <c r="I694" s="34" t="s">
        <v>40</v>
      </c>
      <c r="J694" s="34" t="s">
        <v>1571</v>
      </c>
      <c r="K694" s="34" t="s">
        <v>1572</v>
      </c>
      <c r="L694" s="34" t="s">
        <v>186</v>
      </c>
      <c r="M694" s="35" t="s">
        <v>50</v>
      </c>
      <c r="N694" s="24"/>
      <c r="O694" s="34" t="s">
        <v>126</v>
      </c>
      <c r="P694" s="34">
        <v>8.0</v>
      </c>
      <c r="Q694" s="34">
        <v>1600.0</v>
      </c>
      <c r="R694" s="34" t="s">
        <v>1219</v>
      </c>
      <c r="S694" s="34" t="s">
        <v>1225</v>
      </c>
    </row>
    <row r="695" ht="15.75" customHeight="1">
      <c r="A695" s="33">
        <v>45741.61622539352</v>
      </c>
      <c r="B695" s="34" t="s">
        <v>2</v>
      </c>
      <c r="C695" s="34" t="s">
        <v>1563</v>
      </c>
      <c r="D695" s="34" t="s">
        <v>1573</v>
      </c>
      <c r="E695" s="34" t="s">
        <v>368</v>
      </c>
      <c r="F695" s="34">
        <v>1.0</v>
      </c>
      <c r="G695" s="34">
        <v>16.0</v>
      </c>
      <c r="H695" s="34" t="s">
        <v>29</v>
      </c>
      <c r="I695" s="34" t="s">
        <v>40</v>
      </c>
      <c r="K695" s="34" t="s">
        <v>1574</v>
      </c>
      <c r="L695" s="34" t="s">
        <v>111</v>
      </c>
      <c r="M695" s="37" t="s">
        <v>1575</v>
      </c>
      <c r="N695" s="24"/>
      <c r="O695" s="34" t="s">
        <v>40</v>
      </c>
      <c r="P695" s="34">
        <v>16.0</v>
      </c>
      <c r="Q695" s="34">
        <v>3200.0</v>
      </c>
      <c r="R695" s="34" t="s">
        <v>34</v>
      </c>
      <c r="S695" s="34" t="s">
        <v>1217</v>
      </c>
    </row>
    <row r="696" ht="15.75" customHeight="1">
      <c r="A696" s="33">
        <v>45741.61929502315</v>
      </c>
      <c r="B696" s="34" t="s">
        <v>45</v>
      </c>
      <c r="C696" s="34" t="s">
        <v>1463</v>
      </c>
      <c r="D696" s="34" t="s">
        <v>1248</v>
      </c>
      <c r="E696" s="34" t="s">
        <v>1576</v>
      </c>
      <c r="F696" s="34">
        <v>1.0</v>
      </c>
      <c r="G696" s="34">
        <v>36.0</v>
      </c>
      <c r="H696" s="34" t="s">
        <v>29</v>
      </c>
      <c r="I696" s="34" t="s">
        <v>40</v>
      </c>
      <c r="K696" s="34" t="s">
        <v>1577</v>
      </c>
      <c r="M696" s="24"/>
      <c r="N696" s="37" t="s">
        <v>1578</v>
      </c>
      <c r="O696" s="34" t="s">
        <v>40</v>
      </c>
      <c r="P696" s="34">
        <v>32.0</v>
      </c>
      <c r="Q696" s="34">
        <v>2400.0</v>
      </c>
      <c r="R696" s="34" t="s">
        <v>34</v>
      </c>
      <c r="S696" s="34" t="s">
        <v>1217</v>
      </c>
    </row>
    <row r="697" ht="15.75" customHeight="1">
      <c r="A697" s="33">
        <v>45741.72804243056</v>
      </c>
      <c r="B697" s="34" t="s">
        <v>465</v>
      </c>
      <c r="C697" s="34" t="s">
        <v>1463</v>
      </c>
      <c r="D697" s="34" t="s">
        <v>71</v>
      </c>
      <c r="E697" s="34" t="s">
        <v>345</v>
      </c>
      <c r="F697" s="34">
        <v>1.0</v>
      </c>
      <c r="G697" s="34">
        <v>18.0</v>
      </c>
      <c r="H697" s="34" t="s">
        <v>29</v>
      </c>
      <c r="I697" s="34" t="s">
        <v>40</v>
      </c>
      <c r="K697" s="34" t="s">
        <v>1579</v>
      </c>
      <c r="L697" s="34" t="s">
        <v>136</v>
      </c>
      <c r="M697" s="35" t="s">
        <v>217</v>
      </c>
      <c r="N697" s="37" t="s">
        <v>1580</v>
      </c>
      <c r="O697" s="34" t="s">
        <v>40</v>
      </c>
      <c r="P697" s="34">
        <v>16.0</v>
      </c>
      <c r="Q697" s="34">
        <v>2666.0</v>
      </c>
      <c r="R697" s="34" t="s">
        <v>34</v>
      </c>
      <c r="S697" s="34" t="s">
        <v>1225</v>
      </c>
    </row>
    <row r="698" ht="15.75" customHeight="1">
      <c r="A698" s="33">
        <v>45742.463518564815</v>
      </c>
      <c r="B698" s="34" t="s">
        <v>61</v>
      </c>
      <c r="C698" s="34" t="s">
        <v>1570</v>
      </c>
      <c r="D698" s="34" t="s">
        <v>71</v>
      </c>
      <c r="E698" s="34" t="s">
        <v>1481</v>
      </c>
      <c r="F698" s="34">
        <v>2.0</v>
      </c>
      <c r="G698" s="34">
        <v>16.0</v>
      </c>
      <c r="H698" s="34" t="s">
        <v>29</v>
      </c>
      <c r="I698" s="34" t="s">
        <v>40</v>
      </c>
      <c r="J698" s="34" t="s">
        <v>1581</v>
      </c>
      <c r="K698" s="34" t="s">
        <v>1572</v>
      </c>
      <c r="L698" s="34" t="s">
        <v>186</v>
      </c>
      <c r="M698" s="35" t="s">
        <v>50</v>
      </c>
      <c r="N698" s="24"/>
      <c r="O698" s="34" t="s">
        <v>40</v>
      </c>
      <c r="P698" s="34">
        <v>8.0</v>
      </c>
      <c r="Q698" s="34">
        <v>1600.0</v>
      </c>
      <c r="R698" s="34" t="s">
        <v>1219</v>
      </c>
      <c r="S698" s="34" t="s">
        <v>1217</v>
      </c>
    </row>
    <row r="699" ht="15.75" customHeight="1">
      <c r="A699" s="33">
        <v>45746.12413401621</v>
      </c>
      <c r="B699" s="34" t="s">
        <v>74</v>
      </c>
      <c r="C699" s="34" t="s">
        <v>1463</v>
      </c>
      <c r="D699" s="34" t="s">
        <v>38</v>
      </c>
      <c r="E699" s="34" t="s">
        <v>893</v>
      </c>
      <c r="F699" s="34">
        <v>2.0</v>
      </c>
      <c r="G699" s="34">
        <v>16.0</v>
      </c>
      <c r="H699" s="34" t="s">
        <v>29</v>
      </c>
      <c r="I699" s="34" t="s">
        <v>40</v>
      </c>
      <c r="J699" s="34" t="s">
        <v>1582</v>
      </c>
      <c r="K699" s="34" t="s">
        <v>1583</v>
      </c>
      <c r="L699" s="34" t="s">
        <v>111</v>
      </c>
      <c r="M699" s="35" t="s">
        <v>50</v>
      </c>
      <c r="N699" s="24"/>
      <c r="O699" s="34" t="s">
        <v>40</v>
      </c>
      <c r="P699" s="34">
        <v>8.0</v>
      </c>
      <c r="Q699" s="34">
        <v>1866.0</v>
      </c>
      <c r="R699" s="34" t="s">
        <v>1219</v>
      </c>
      <c r="S699" s="34" t="s">
        <v>1220</v>
      </c>
    </row>
    <row r="700" ht="15.75" customHeight="1">
      <c r="A700" s="33">
        <v>45746.26852104167</v>
      </c>
      <c r="B700" s="34" t="s">
        <v>1584</v>
      </c>
      <c r="C700" s="34" t="s">
        <v>1100</v>
      </c>
      <c r="D700" s="34" t="s">
        <v>86</v>
      </c>
      <c r="E700" s="34" t="s">
        <v>1585</v>
      </c>
      <c r="F700" s="34">
        <v>2.0</v>
      </c>
      <c r="G700" s="34">
        <v>16.0</v>
      </c>
      <c r="H700" s="34" t="s">
        <v>29</v>
      </c>
      <c r="I700" s="34" t="s">
        <v>40</v>
      </c>
      <c r="K700" s="34" t="s">
        <v>1586</v>
      </c>
      <c r="L700" s="34" t="s">
        <v>239</v>
      </c>
      <c r="M700" s="35" t="s">
        <v>855</v>
      </c>
      <c r="N700" s="24"/>
      <c r="O700" s="34" t="s">
        <v>40</v>
      </c>
      <c r="P700" s="34">
        <v>16.0</v>
      </c>
      <c r="Q700" s="34">
        <v>1600.0</v>
      </c>
      <c r="R700" s="34" t="s">
        <v>1219</v>
      </c>
      <c r="S700" s="34" t="s">
        <v>1225</v>
      </c>
    </row>
    <row r="701" ht="15.75" customHeight="1">
      <c r="A701" s="33">
        <v>45748.89347277778</v>
      </c>
      <c r="B701" s="34" t="s">
        <v>124</v>
      </c>
      <c r="D701" s="34" t="s">
        <v>27</v>
      </c>
      <c r="E701" s="34" t="s">
        <v>212</v>
      </c>
      <c r="F701" s="34">
        <v>1.0</v>
      </c>
      <c r="G701" s="34">
        <v>18.0</v>
      </c>
      <c r="H701" s="34" t="s">
        <v>40</v>
      </c>
      <c r="I701" s="34" t="s">
        <v>40</v>
      </c>
      <c r="K701" s="34" t="s">
        <v>1587</v>
      </c>
      <c r="L701" s="34" t="s">
        <v>103</v>
      </c>
      <c r="M701" s="35" t="s">
        <v>414</v>
      </c>
      <c r="N701" s="24"/>
      <c r="O701" s="34" t="s">
        <v>40</v>
      </c>
      <c r="P701" s="34">
        <v>16.0</v>
      </c>
      <c r="Q701" s="34">
        <v>2666.0</v>
      </c>
      <c r="R701" s="34" t="s">
        <v>34</v>
      </c>
      <c r="S701" s="34" t="s">
        <v>1217</v>
      </c>
    </row>
    <row r="702" ht="15.75" customHeight="1">
      <c r="A702" s="33">
        <v>45748.992820416664</v>
      </c>
      <c r="B702" s="34" t="s">
        <v>465</v>
      </c>
      <c r="C702" s="34" t="s">
        <v>1463</v>
      </c>
      <c r="D702" s="34" t="s">
        <v>38</v>
      </c>
      <c r="E702" s="34" t="s">
        <v>368</v>
      </c>
      <c r="F702" s="34">
        <v>1.0</v>
      </c>
      <c r="G702" s="34">
        <v>18.0</v>
      </c>
      <c r="H702" s="34" t="s">
        <v>40</v>
      </c>
      <c r="J702" s="34" t="s">
        <v>1588</v>
      </c>
      <c r="K702" s="34" t="s">
        <v>1589</v>
      </c>
      <c r="L702" s="34" t="s">
        <v>31</v>
      </c>
      <c r="M702" s="35" t="s">
        <v>230</v>
      </c>
      <c r="N702" s="24"/>
      <c r="O702" s="34" t="s">
        <v>126</v>
      </c>
      <c r="P702" s="34">
        <v>16.0</v>
      </c>
      <c r="Q702" s="34">
        <v>3200.0</v>
      </c>
      <c r="R702" s="34" t="s">
        <v>34</v>
      </c>
      <c r="S702" s="34" t="s">
        <v>1217</v>
      </c>
    </row>
    <row r="703" ht="15.75" customHeight="1">
      <c r="A703" s="33">
        <v>45749.382446840274</v>
      </c>
      <c r="B703" s="34" t="s">
        <v>465</v>
      </c>
      <c r="C703" s="34" t="s">
        <v>1463</v>
      </c>
      <c r="D703" s="34" t="s">
        <v>1590</v>
      </c>
      <c r="E703" s="34" t="s">
        <v>1591</v>
      </c>
      <c r="F703" s="34">
        <v>1.0</v>
      </c>
      <c r="G703" s="34">
        <v>18.0</v>
      </c>
      <c r="H703" s="34" t="s">
        <v>29</v>
      </c>
      <c r="I703" s="34" t="s">
        <v>40</v>
      </c>
      <c r="K703" s="34" t="s">
        <v>1592</v>
      </c>
      <c r="L703" s="34" t="s">
        <v>1156</v>
      </c>
      <c r="M703" s="35" t="s">
        <v>1593</v>
      </c>
      <c r="N703" s="24"/>
      <c r="O703" s="34" t="s">
        <v>40</v>
      </c>
      <c r="P703" s="34">
        <v>16.0</v>
      </c>
      <c r="Q703" s="34">
        <v>2666.0</v>
      </c>
      <c r="R703" s="34" t="s">
        <v>34</v>
      </c>
      <c r="S703" s="34" t="s">
        <v>1220</v>
      </c>
    </row>
    <row r="704" ht="15.75" customHeight="1">
      <c r="A704" s="33">
        <v>45749.58220957176</v>
      </c>
      <c r="B704" s="34" t="s">
        <v>124</v>
      </c>
      <c r="C704" s="34" t="s">
        <v>1463</v>
      </c>
      <c r="D704" s="34" t="s">
        <v>38</v>
      </c>
      <c r="E704" s="34" t="s">
        <v>153</v>
      </c>
      <c r="F704" s="34">
        <v>1.0</v>
      </c>
      <c r="G704" s="34">
        <v>10.0</v>
      </c>
      <c r="H704" s="34" t="s">
        <v>29</v>
      </c>
      <c r="I704" s="34" t="s">
        <v>40</v>
      </c>
      <c r="K704" s="34" t="s">
        <v>1594</v>
      </c>
      <c r="L704" s="34" t="s">
        <v>111</v>
      </c>
      <c r="M704" s="35" t="s">
        <v>50</v>
      </c>
      <c r="N704" s="24"/>
      <c r="O704" s="34" t="s">
        <v>40</v>
      </c>
      <c r="P704" s="34">
        <v>8.0</v>
      </c>
      <c r="Q704" s="34">
        <v>3200.0</v>
      </c>
      <c r="R704" s="34" t="s">
        <v>34</v>
      </c>
      <c r="S704" s="34" t="s">
        <v>1220</v>
      </c>
    </row>
    <row r="705" ht="15.75" customHeight="1">
      <c r="A705" s="33">
        <v>45749.7518160301</v>
      </c>
      <c r="B705" s="34" t="s">
        <v>288</v>
      </c>
      <c r="C705" s="34" t="s">
        <v>1463</v>
      </c>
      <c r="D705" s="34" t="s">
        <v>27</v>
      </c>
      <c r="E705" s="34" t="s">
        <v>1014</v>
      </c>
      <c r="F705" s="34">
        <v>1.0</v>
      </c>
      <c r="G705" s="34">
        <v>16.0</v>
      </c>
      <c r="H705" s="34" t="s">
        <v>29</v>
      </c>
      <c r="I705" s="34" t="s">
        <v>40</v>
      </c>
      <c r="K705" s="34" t="s">
        <v>1595</v>
      </c>
      <c r="L705" s="34" t="s">
        <v>1379</v>
      </c>
      <c r="M705" s="37" t="s">
        <v>1430</v>
      </c>
      <c r="N705" s="24"/>
      <c r="O705" s="34" t="s">
        <v>40</v>
      </c>
      <c r="Q705" s="34">
        <v>3200.0</v>
      </c>
      <c r="R705" s="34" t="s">
        <v>34</v>
      </c>
      <c r="S705" s="34" t="s">
        <v>1225</v>
      </c>
    </row>
    <row r="706" ht="15.75" customHeight="1">
      <c r="A706" s="33">
        <v>45750.84761302083</v>
      </c>
      <c r="B706" s="34" t="s">
        <v>118</v>
      </c>
      <c r="C706" s="34" t="s">
        <v>1463</v>
      </c>
      <c r="D706" s="34" t="s">
        <v>119</v>
      </c>
      <c r="E706" s="34" t="s">
        <v>473</v>
      </c>
      <c r="F706" s="34">
        <v>1.0</v>
      </c>
      <c r="G706" s="34">
        <v>20.0</v>
      </c>
      <c r="H706" s="34" t="s">
        <v>40</v>
      </c>
      <c r="K706" s="34" t="s">
        <v>1596</v>
      </c>
      <c r="L706" s="34" t="s">
        <v>111</v>
      </c>
      <c r="M706" s="38" t="s">
        <v>50</v>
      </c>
      <c r="N706" s="24"/>
      <c r="O706" s="34" t="s">
        <v>40</v>
      </c>
      <c r="P706" s="34">
        <v>16.0</v>
      </c>
      <c r="Q706" s="34">
        <v>2666.0</v>
      </c>
      <c r="R706" s="34" t="s">
        <v>34</v>
      </c>
      <c r="S706" s="34" t="s">
        <v>1225</v>
      </c>
    </row>
    <row r="707" ht="15.75" customHeight="1">
      <c r="A707" s="33">
        <v>45750.93823136574</v>
      </c>
      <c r="B707" s="34" t="s">
        <v>465</v>
      </c>
      <c r="C707" s="34" t="s">
        <v>1463</v>
      </c>
      <c r="D707" s="34" t="s">
        <v>71</v>
      </c>
      <c r="E707" s="34" t="s">
        <v>940</v>
      </c>
      <c r="F707" s="34">
        <v>1.0</v>
      </c>
      <c r="G707" s="34">
        <v>18.0</v>
      </c>
      <c r="H707" s="34" t="s">
        <v>29</v>
      </c>
      <c r="I707" s="34" t="s">
        <v>40</v>
      </c>
      <c r="K707" s="34" t="s">
        <v>1597</v>
      </c>
      <c r="L707" s="34" t="s">
        <v>140</v>
      </c>
      <c r="M707" s="35" t="s">
        <v>681</v>
      </c>
      <c r="N707" s="24"/>
      <c r="O707" s="34" t="s">
        <v>40</v>
      </c>
      <c r="P707" s="34">
        <v>16.0</v>
      </c>
      <c r="Q707" s="34">
        <v>2666.0</v>
      </c>
      <c r="R707" s="34" t="s">
        <v>34</v>
      </c>
      <c r="S707" s="34" t="s">
        <v>1225</v>
      </c>
    </row>
    <row r="708" ht="15.75" customHeight="1">
      <c r="A708" s="33">
        <v>45751.31024659722</v>
      </c>
      <c r="B708" s="34" t="s">
        <v>288</v>
      </c>
      <c r="C708" s="34" t="s">
        <v>1463</v>
      </c>
      <c r="D708" s="34" t="s">
        <v>27</v>
      </c>
      <c r="E708" s="34" t="s">
        <v>529</v>
      </c>
      <c r="F708" s="34">
        <v>1.0</v>
      </c>
      <c r="G708" s="34">
        <v>18.0</v>
      </c>
      <c r="H708" s="34" t="s">
        <v>29</v>
      </c>
      <c r="I708" s="34" t="s">
        <v>40</v>
      </c>
      <c r="K708" s="34" t="s">
        <v>1288</v>
      </c>
      <c r="L708" s="34" t="s">
        <v>622</v>
      </c>
      <c r="M708" s="37" t="s">
        <v>1157</v>
      </c>
      <c r="N708" s="24"/>
      <c r="O708" s="34" t="s">
        <v>126</v>
      </c>
      <c r="P708" s="34">
        <v>16.0</v>
      </c>
      <c r="Q708" s="34">
        <v>2666.0</v>
      </c>
      <c r="R708" s="34" t="s">
        <v>34</v>
      </c>
      <c r="S708" s="34" t="s">
        <v>1220</v>
      </c>
    </row>
    <row r="709" ht="15.75" customHeight="1">
      <c r="A709" s="33">
        <v>45752.21090957176</v>
      </c>
      <c r="B709" s="34" t="s">
        <v>298</v>
      </c>
      <c r="C709" s="34" t="s">
        <v>1463</v>
      </c>
      <c r="D709" s="34" t="s">
        <v>107</v>
      </c>
      <c r="E709" s="34" t="s">
        <v>1598</v>
      </c>
      <c r="F709" s="34">
        <v>2.0</v>
      </c>
      <c r="G709" s="34">
        <v>16.0</v>
      </c>
      <c r="H709" s="34" t="s">
        <v>29</v>
      </c>
      <c r="I709" s="34" t="s">
        <v>40</v>
      </c>
      <c r="K709" s="34" t="s">
        <v>1599</v>
      </c>
      <c r="M709" s="24"/>
      <c r="N709" s="37" t="s">
        <v>1600</v>
      </c>
      <c r="O709" s="34" t="s">
        <v>40</v>
      </c>
      <c r="P709" s="34">
        <v>8.0</v>
      </c>
      <c r="Q709" s="34">
        <v>1866.0</v>
      </c>
      <c r="R709" s="34" t="s">
        <v>1219</v>
      </c>
      <c r="S709" s="34" t="s">
        <v>1225</v>
      </c>
    </row>
    <row r="710" ht="15.75" customHeight="1">
      <c r="A710" s="33">
        <v>45753.94629010417</v>
      </c>
      <c r="B710" s="34" t="s">
        <v>288</v>
      </c>
      <c r="C710" s="34" t="s">
        <v>1463</v>
      </c>
      <c r="D710" s="34" t="s">
        <v>267</v>
      </c>
      <c r="E710" s="34" t="s">
        <v>1601</v>
      </c>
      <c r="F710" s="34">
        <v>1.0</v>
      </c>
      <c r="G710" s="34">
        <v>10.0</v>
      </c>
      <c r="H710" s="34" t="s">
        <v>29</v>
      </c>
      <c r="I710" s="34" t="s">
        <v>40</v>
      </c>
      <c r="K710" s="34" t="s">
        <v>1602</v>
      </c>
      <c r="L710" s="34" t="s">
        <v>136</v>
      </c>
      <c r="M710" s="35" t="s">
        <v>137</v>
      </c>
      <c r="N710" s="24"/>
      <c r="O710" s="34" t="s">
        <v>40</v>
      </c>
      <c r="P710" s="34">
        <v>8.0</v>
      </c>
      <c r="Q710" s="34">
        <v>3200.0</v>
      </c>
      <c r="R710" s="34" t="s">
        <v>34</v>
      </c>
      <c r="S710" s="34" t="s">
        <v>1225</v>
      </c>
    </row>
    <row r="711" ht="15.75" customHeight="1">
      <c r="A711" s="33">
        <v>45755.89299530092</v>
      </c>
      <c r="B711" s="34" t="s">
        <v>465</v>
      </c>
      <c r="C711" s="34" t="s">
        <v>1463</v>
      </c>
      <c r="D711" s="34" t="s">
        <v>119</v>
      </c>
      <c r="E711" s="34" t="s">
        <v>473</v>
      </c>
      <c r="F711" s="34">
        <v>1.0</v>
      </c>
      <c r="G711" s="34">
        <v>18.0</v>
      </c>
      <c r="H711" s="34" t="s">
        <v>29</v>
      </c>
      <c r="I711" s="34" t="s">
        <v>40</v>
      </c>
      <c r="K711" s="34" t="s">
        <v>1603</v>
      </c>
      <c r="L711" s="34" t="s">
        <v>436</v>
      </c>
      <c r="M711" s="38" t="s">
        <v>1604</v>
      </c>
      <c r="N711" s="24"/>
      <c r="O711" s="34" t="s">
        <v>40</v>
      </c>
      <c r="P711" s="34">
        <v>16.0</v>
      </c>
      <c r="Q711" s="34">
        <v>2666.0</v>
      </c>
      <c r="R711" s="34" t="s">
        <v>34</v>
      </c>
      <c r="S711" s="34" t="s">
        <v>1225</v>
      </c>
    </row>
    <row r="712" ht="15.75" customHeight="1">
      <c r="A712" s="33">
        <v>45760.1672921875</v>
      </c>
      <c r="B712" s="34" t="s">
        <v>1605</v>
      </c>
      <c r="C712" s="34" t="s">
        <v>1034</v>
      </c>
      <c r="D712" s="34" t="s">
        <v>119</v>
      </c>
      <c r="E712" s="34" t="s">
        <v>592</v>
      </c>
      <c r="F712" s="34">
        <v>1.0</v>
      </c>
      <c r="G712" s="34">
        <v>4.0</v>
      </c>
      <c r="H712" s="34" t="s">
        <v>29</v>
      </c>
      <c r="I712" s="34" t="s">
        <v>40</v>
      </c>
      <c r="J712" s="34" t="s">
        <v>1606</v>
      </c>
      <c r="K712" s="34" t="s">
        <v>1607</v>
      </c>
      <c r="L712" s="34" t="s">
        <v>111</v>
      </c>
      <c r="M712" s="35" t="s">
        <v>50</v>
      </c>
      <c r="N712" s="24"/>
      <c r="O712" s="34" t="s">
        <v>40</v>
      </c>
      <c r="Q712" s="34">
        <v>3200.0</v>
      </c>
      <c r="R712" s="34" t="s">
        <v>34</v>
      </c>
      <c r="S712" s="34" t="s">
        <v>1217</v>
      </c>
    </row>
    <row r="713" ht="15.75" customHeight="1">
      <c r="A713" s="33">
        <v>45760.471200520835</v>
      </c>
      <c r="B713" s="34" t="s">
        <v>465</v>
      </c>
      <c r="C713" s="34" t="s">
        <v>1463</v>
      </c>
      <c r="D713" s="34" t="s">
        <v>27</v>
      </c>
      <c r="E713" s="34" t="s">
        <v>329</v>
      </c>
      <c r="F713" s="34">
        <v>1.0</v>
      </c>
      <c r="G713" s="34">
        <v>10.0</v>
      </c>
      <c r="H713" s="34" t="s">
        <v>29</v>
      </c>
      <c r="I713" s="34" t="s">
        <v>40</v>
      </c>
      <c r="K713" s="34" t="s">
        <v>1608</v>
      </c>
      <c r="L713" s="34" t="s">
        <v>608</v>
      </c>
      <c r="M713" s="37" t="s">
        <v>1609</v>
      </c>
      <c r="N713" s="37" t="s">
        <v>1610</v>
      </c>
      <c r="O713" s="34" t="s">
        <v>40</v>
      </c>
      <c r="P713" s="34">
        <v>8.0</v>
      </c>
      <c r="Q713" s="34">
        <v>2666.0</v>
      </c>
      <c r="R713" s="34" t="s">
        <v>34</v>
      </c>
      <c r="S713" s="34" t="s">
        <v>1220</v>
      </c>
    </row>
    <row r="714" ht="15.75" customHeight="1">
      <c r="A714" s="33">
        <v>45760.50890842592</v>
      </c>
      <c r="B714" s="34" t="s">
        <v>465</v>
      </c>
      <c r="C714" s="34" t="s">
        <v>1463</v>
      </c>
      <c r="D714" s="34" t="s">
        <v>976</v>
      </c>
      <c r="E714" s="34" t="s">
        <v>977</v>
      </c>
      <c r="F714" s="34">
        <v>1.0</v>
      </c>
      <c r="G714" s="34">
        <v>2.0</v>
      </c>
      <c r="H714" s="34" t="s">
        <v>40</v>
      </c>
      <c r="I714" s="34" t="s">
        <v>40</v>
      </c>
      <c r="K714" s="34" t="s">
        <v>1608</v>
      </c>
      <c r="L714" s="34" t="s">
        <v>608</v>
      </c>
      <c r="M714" s="37" t="s">
        <v>1611</v>
      </c>
      <c r="N714" s="24"/>
      <c r="O714" s="34" t="s">
        <v>40</v>
      </c>
      <c r="P714" s="34">
        <v>8.0</v>
      </c>
      <c r="Q714" s="34">
        <v>2666.0</v>
      </c>
      <c r="R714" s="34" t="s">
        <v>34</v>
      </c>
      <c r="S714" s="34" t="s">
        <v>1217</v>
      </c>
    </row>
    <row r="715" ht="15.75" customHeight="1">
      <c r="A715" s="33">
        <v>45763.41171202547</v>
      </c>
      <c r="B715" s="34" t="s">
        <v>45</v>
      </c>
      <c r="C715" s="34" t="s">
        <v>1463</v>
      </c>
      <c r="D715" s="34" t="s">
        <v>716</v>
      </c>
      <c r="E715" s="34" t="s">
        <v>161</v>
      </c>
      <c r="F715" s="34">
        <v>2.0</v>
      </c>
      <c r="G715" s="34">
        <v>32.0</v>
      </c>
      <c r="H715" s="34" t="s">
        <v>29</v>
      </c>
      <c r="I715" s="34" t="s">
        <v>40</v>
      </c>
      <c r="K715" s="34" t="s">
        <v>1612</v>
      </c>
      <c r="L715" s="34" t="s">
        <v>136</v>
      </c>
      <c r="M715" s="38" t="s">
        <v>137</v>
      </c>
      <c r="N715" s="37" t="s">
        <v>1613</v>
      </c>
      <c r="O715" s="34" t="s">
        <v>29</v>
      </c>
      <c r="P715" s="34">
        <v>16.0</v>
      </c>
      <c r="Q715" s="34">
        <v>2666.0</v>
      </c>
      <c r="R715" s="34" t="s">
        <v>34</v>
      </c>
      <c r="S715" s="34" t="s">
        <v>1220</v>
      </c>
    </row>
    <row r="716" ht="15.75" customHeight="1">
      <c r="A716" s="33">
        <v>45764.675326979166</v>
      </c>
      <c r="B716" s="34" t="s">
        <v>465</v>
      </c>
      <c r="C716" s="34" t="s">
        <v>1463</v>
      </c>
      <c r="D716" s="34" t="s">
        <v>71</v>
      </c>
      <c r="E716" s="34" t="s">
        <v>345</v>
      </c>
      <c r="F716" s="34">
        <v>1.0</v>
      </c>
      <c r="G716" s="34">
        <v>18.0</v>
      </c>
      <c r="H716" s="34" t="s">
        <v>29</v>
      </c>
      <c r="I716" s="34" t="s">
        <v>40</v>
      </c>
      <c r="K716" s="34" t="s">
        <v>1614</v>
      </c>
      <c r="L716" s="34" t="s">
        <v>111</v>
      </c>
      <c r="M716" s="35" t="s">
        <v>297</v>
      </c>
      <c r="N716" s="24"/>
      <c r="O716" s="34" t="s">
        <v>40</v>
      </c>
      <c r="P716" s="34">
        <v>16.0</v>
      </c>
      <c r="Q716" s="34">
        <v>2666.0</v>
      </c>
      <c r="R716" s="34" t="s">
        <v>34</v>
      </c>
      <c r="S716" s="34" t="s">
        <v>1225</v>
      </c>
    </row>
    <row r="717" ht="15.75" customHeight="1">
      <c r="A717" s="33">
        <v>45765.44482046296</v>
      </c>
      <c r="B717" s="34" t="s">
        <v>45</v>
      </c>
      <c r="C717" s="34" t="s">
        <v>1463</v>
      </c>
      <c r="D717" s="34" t="s">
        <v>47</v>
      </c>
      <c r="E717" s="34" t="s">
        <v>501</v>
      </c>
      <c r="F717" s="34">
        <v>2.0</v>
      </c>
      <c r="G717" s="34">
        <v>32.0</v>
      </c>
      <c r="H717" s="34" t="s">
        <v>40</v>
      </c>
      <c r="J717" s="34" t="s">
        <v>1615</v>
      </c>
      <c r="K717" s="34" t="s">
        <v>1429</v>
      </c>
      <c r="L717" s="34" t="s">
        <v>31</v>
      </c>
      <c r="M717" s="38" t="s">
        <v>230</v>
      </c>
      <c r="N717" s="24"/>
      <c r="O717" s="34" t="s">
        <v>29</v>
      </c>
      <c r="P717" s="34">
        <v>16.0</v>
      </c>
      <c r="Q717" s="34">
        <v>2666.0</v>
      </c>
      <c r="R717" s="34" t="s">
        <v>34</v>
      </c>
      <c r="S717" s="34" t="s">
        <v>1225</v>
      </c>
    </row>
    <row r="718" ht="15.75" customHeight="1">
      <c r="A718" s="33">
        <v>45765.58882754629</v>
      </c>
      <c r="B718" s="34" t="s">
        <v>465</v>
      </c>
      <c r="C718" s="34" t="s">
        <v>1463</v>
      </c>
      <c r="D718" s="34" t="s">
        <v>38</v>
      </c>
      <c r="E718" s="34" t="s">
        <v>1616</v>
      </c>
      <c r="F718" s="34">
        <v>1.0</v>
      </c>
      <c r="G718" s="34">
        <v>18.0</v>
      </c>
      <c r="H718" s="34" t="s">
        <v>40</v>
      </c>
      <c r="I718" s="34" t="s">
        <v>40</v>
      </c>
      <c r="J718" s="34" t="s">
        <v>1617</v>
      </c>
      <c r="K718" s="34" t="s">
        <v>1618</v>
      </c>
      <c r="L718" s="34" t="s">
        <v>31</v>
      </c>
      <c r="M718" s="38" t="s">
        <v>230</v>
      </c>
      <c r="N718" s="24"/>
      <c r="O718" s="34" t="s">
        <v>40</v>
      </c>
      <c r="P718" s="34">
        <v>16.0</v>
      </c>
      <c r="Q718" s="34">
        <v>3200.0</v>
      </c>
      <c r="R718" s="34" t="s">
        <v>34</v>
      </c>
      <c r="S718" s="34" t="s">
        <v>1217</v>
      </c>
    </row>
    <row r="719" ht="15.75" customHeight="1">
      <c r="A719" s="33">
        <v>45766.03976414352</v>
      </c>
      <c r="B719" s="34" t="s">
        <v>465</v>
      </c>
      <c r="C719" s="34" t="s">
        <v>1463</v>
      </c>
      <c r="D719" s="34" t="s">
        <v>38</v>
      </c>
      <c r="E719" s="34" t="s">
        <v>599</v>
      </c>
      <c r="F719" s="34">
        <v>1.0</v>
      </c>
      <c r="G719" s="34">
        <v>18.0</v>
      </c>
      <c r="H719" s="34" t="s">
        <v>29</v>
      </c>
      <c r="I719" s="34" t="s">
        <v>40</v>
      </c>
      <c r="K719" s="34" t="s">
        <v>1619</v>
      </c>
      <c r="L719" s="34" t="s">
        <v>111</v>
      </c>
      <c r="M719" s="35" t="s">
        <v>50</v>
      </c>
      <c r="N719" s="24"/>
      <c r="O719" s="34" t="s">
        <v>40</v>
      </c>
      <c r="P719" s="34">
        <v>16.0</v>
      </c>
      <c r="Q719" s="34">
        <v>2666.0</v>
      </c>
      <c r="R719" s="34" t="s">
        <v>34</v>
      </c>
      <c r="S719" s="34" t="s">
        <v>1217</v>
      </c>
    </row>
    <row r="720" ht="15.75" customHeight="1">
      <c r="A720" s="33">
        <v>45766.042320925924</v>
      </c>
      <c r="B720" s="34" t="s">
        <v>465</v>
      </c>
      <c r="C720" s="34" t="s">
        <v>1463</v>
      </c>
      <c r="D720" s="34" t="s">
        <v>38</v>
      </c>
      <c r="E720" s="34" t="s">
        <v>368</v>
      </c>
      <c r="F720" s="34">
        <v>1.0</v>
      </c>
      <c r="G720" s="34">
        <v>18.0</v>
      </c>
      <c r="H720" s="34" t="s">
        <v>40</v>
      </c>
      <c r="I720" s="34" t="s">
        <v>40</v>
      </c>
      <c r="K720" s="34" t="s">
        <v>1619</v>
      </c>
      <c r="L720" s="34" t="s">
        <v>111</v>
      </c>
      <c r="M720" s="35" t="s">
        <v>50</v>
      </c>
      <c r="N720" s="24"/>
      <c r="O720" s="34" t="s">
        <v>40</v>
      </c>
      <c r="P720" s="34">
        <v>16.0</v>
      </c>
      <c r="Q720" s="34">
        <v>3200.0</v>
      </c>
      <c r="R720" s="34" t="s">
        <v>34</v>
      </c>
      <c r="S720" s="34" t="s">
        <v>1217</v>
      </c>
    </row>
    <row r="721" ht="15.75" customHeight="1">
      <c r="A721" s="33">
        <v>45767.36133704861</v>
      </c>
      <c r="B721" s="34" t="s">
        <v>465</v>
      </c>
      <c r="C721" s="34" t="s">
        <v>1463</v>
      </c>
      <c r="D721" s="34" t="s">
        <v>1620</v>
      </c>
      <c r="E721" s="34" t="s">
        <v>368</v>
      </c>
      <c r="F721" s="34">
        <v>1.0</v>
      </c>
      <c r="G721" s="34">
        <v>18.0</v>
      </c>
      <c r="H721" s="34" t="s">
        <v>29</v>
      </c>
      <c r="I721" s="34" t="s">
        <v>40</v>
      </c>
      <c r="K721" s="34" t="s">
        <v>1621</v>
      </c>
      <c r="L721" s="34" t="s">
        <v>331</v>
      </c>
      <c r="M721" s="37" t="s">
        <v>1430</v>
      </c>
      <c r="N721" s="37">
        <v>3.2</v>
      </c>
      <c r="O721" s="34" t="s">
        <v>40</v>
      </c>
      <c r="P721" s="34">
        <v>16.0</v>
      </c>
      <c r="Q721" s="34">
        <v>3200.0</v>
      </c>
      <c r="R721" s="34" t="s">
        <v>34</v>
      </c>
      <c r="S721" s="34" t="s">
        <v>1217</v>
      </c>
    </row>
    <row r="722" ht="15.75" customHeight="1">
      <c r="A722" s="33">
        <v>45767.50598004629</v>
      </c>
      <c r="B722" s="34" t="s">
        <v>66</v>
      </c>
      <c r="C722" s="34" t="s">
        <v>1463</v>
      </c>
      <c r="D722" s="34" t="s">
        <v>38</v>
      </c>
      <c r="E722" s="34" t="s">
        <v>59</v>
      </c>
      <c r="F722" s="34">
        <v>1.0</v>
      </c>
      <c r="G722" s="34">
        <v>18.0</v>
      </c>
      <c r="H722" s="34" t="s">
        <v>40</v>
      </c>
      <c r="I722" s="34" t="s">
        <v>40</v>
      </c>
      <c r="J722" s="34" t="s">
        <v>1622</v>
      </c>
      <c r="K722" s="34" t="s">
        <v>1623</v>
      </c>
      <c r="L722" s="34" t="s">
        <v>103</v>
      </c>
      <c r="M722" s="37" t="s">
        <v>1624</v>
      </c>
      <c r="N722" s="24"/>
      <c r="O722" s="34" t="s">
        <v>40</v>
      </c>
      <c r="P722" s="34">
        <v>16.0</v>
      </c>
      <c r="Q722" s="34">
        <v>2666.0</v>
      </c>
      <c r="R722" s="34" t="s">
        <v>34</v>
      </c>
      <c r="S722" s="34" t="s">
        <v>1217</v>
      </c>
    </row>
    <row r="723" ht="15.75" customHeight="1">
      <c r="A723" s="33">
        <v>45767.732272974536</v>
      </c>
      <c r="B723" s="34" t="s">
        <v>1351</v>
      </c>
      <c r="C723" s="34" t="s">
        <v>1463</v>
      </c>
      <c r="D723" s="34" t="s">
        <v>101</v>
      </c>
      <c r="E723" s="34" t="s">
        <v>1625</v>
      </c>
      <c r="F723" s="34">
        <v>1.0</v>
      </c>
      <c r="G723" s="34">
        <v>16.0</v>
      </c>
      <c r="H723" s="34" t="s">
        <v>29</v>
      </c>
      <c r="I723" s="34" t="s">
        <v>40</v>
      </c>
      <c r="J723" s="34" t="s">
        <v>1626</v>
      </c>
      <c r="K723" s="34" t="s">
        <v>1627</v>
      </c>
      <c r="L723" s="34" t="s">
        <v>611</v>
      </c>
      <c r="M723" s="35" t="s">
        <v>1628</v>
      </c>
      <c r="N723" s="37" t="s">
        <v>1629</v>
      </c>
      <c r="O723" s="34" t="s">
        <v>40</v>
      </c>
      <c r="P723" s="34">
        <v>16.0</v>
      </c>
      <c r="Q723" s="34">
        <v>1600.0</v>
      </c>
      <c r="R723" s="34" t="s">
        <v>1219</v>
      </c>
      <c r="S723" s="34" t="s">
        <v>1225</v>
      </c>
    </row>
    <row r="724" ht="15.75" customHeight="1">
      <c r="A724" s="33">
        <v>45768.70753046296</v>
      </c>
      <c r="B724" s="34" t="s">
        <v>465</v>
      </c>
      <c r="C724" s="34" t="s">
        <v>1034</v>
      </c>
      <c r="D724" s="34" t="s">
        <v>38</v>
      </c>
      <c r="E724" s="34" t="s">
        <v>57</v>
      </c>
      <c r="F724" s="34">
        <v>1.0</v>
      </c>
      <c r="G724" s="34">
        <v>6.0</v>
      </c>
      <c r="H724" s="34" t="s">
        <v>29</v>
      </c>
      <c r="I724" s="34" t="s">
        <v>40</v>
      </c>
      <c r="K724" s="34" t="s">
        <v>1630</v>
      </c>
      <c r="L724" s="34" t="s">
        <v>136</v>
      </c>
      <c r="M724" s="37" t="s">
        <v>830</v>
      </c>
      <c r="N724" s="24"/>
      <c r="O724" s="34" t="s">
        <v>40</v>
      </c>
      <c r="P724" s="34">
        <v>4.0</v>
      </c>
      <c r="Q724" s="34">
        <v>2666.0</v>
      </c>
      <c r="R724" s="34" t="s">
        <v>34</v>
      </c>
      <c r="S724" s="34" t="s">
        <v>1217</v>
      </c>
    </row>
    <row r="725" ht="15.75" customHeight="1">
      <c r="A725" s="33">
        <v>45768.89048460648</v>
      </c>
      <c r="B725" s="34" t="s">
        <v>465</v>
      </c>
      <c r="C725" s="34" t="s">
        <v>1463</v>
      </c>
      <c r="D725" s="34" t="s">
        <v>38</v>
      </c>
      <c r="E725" s="34" t="s">
        <v>400</v>
      </c>
      <c r="F725" s="34">
        <v>1.0</v>
      </c>
      <c r="G725" s="34">
        <v>18.0</v>
      </c>
      <c r="H725" s="34" t="s">
        <v>29</v>
      </c>
      <c r="I725" s="34" t="s">
        <v>40</v>
      </c>
      <c r="K725" s="34" t="s">
        <v>1631</v>
      </c>
      <c r="L725" s="34" t="s">
        <v>354</v>
      </c>
      <c r="M725" s="24"/>
      <c r="N725" s="24"/>
      <c r="O725" s="34" t="s">
        <v>126</v>
      </c>
      <c r="P725" s="34">
        <v>16.0</v>
      </c>
      <c r="Q725" s="34">
        <v>2400.0</v>
      </c>
      <c r="R725" s="34" t="s">
        <v>34</v>
      </c>
      <c r="S725" s="34" t="s">
        <v>1220</v>
      </c>
    </row>
    <row r="726" ht="15.75" customHeight="1">
      <c r="A726" s="33">
        <v>45768.911342060186</v>
      </c>
      <c r="B726" s="34" t="s">
        <v>465</v>
      </c>
      <c r="C726" s="34" t="s">
        <v>1463</v>
      </c>
      <c r="D726" s="34" t="s">
        <v>119</v>
      </c>
      <c r="E726" s="34" t="s">
        <v>473</v>
      </c>
      <c r="F726" s="34">
        <v>1.0</v>
      </c>
      <c r="G726" s="34">
        <v>18.0</v>
      </c>
      <c r="H726" s="34" t="s">
        <v>29</v>
      </c>
      <c r="I726" s="34" t="s">
        <v>40</v>
      </c>
      <c r="J726" s="34" t="s">
        <v>1632</v>
      </c>
      <c r="K726" s="34" t="s">
        <v>1630</v>
      </c>
      <c r="L726" s="34" t="s">
        <v>111</v>
      </c>
      <c r="M726" s="35" t="s">
        <v>137</v>
      </c>
      <c r="N726" s="37" t="s">
        <v>1633</v>
      </c>
      <c r="O726" s="34" t="s">
        <v>40</v>
      </c>
      <c r="P726" s="34">
        <v>16.0</v>
      </c>
      <c r="Q726" s="34">
        <v>2666.0</v>
      </c>
      <c r="R726" s="34" t="s">
        <v>34</v>
      </c>
      <c r="S726" s="34" t="s">
        <v>1225</v>
      </c>
    </row>
    <row r="727" ht="15.75" customHeight="1">
      <c r="A727" s="33">
        <v>45769.836954432874</v>
      </c>
      <c r="B727" s="34" t="s">
        <v>42</v>
      </c>
      <c r="C727" s="34" t="s">
        <v>1463</v>
      </c>
      <c r="D727" s="34" t="s">
        <v>565</v>
      </c>
      <c r="E727" s="34" t="s">
        <v>1634</v>
      </c>
      <c r="F727" s="34">
        <v>2.0</v>
      </c>
      <c r="G727" s="34">
        <v>32.0</v>
      </c>
      <c r="H727" s="34" t="s">
        <v>29</v>
      </c>
      <c r="I727" s="34" t="s">
        <v>40</v>
      </c>
      <c r="K727" s="34" t="s">
        <v>1635</v>
      </c>
      <c r="L727" s="34" t="s">
        <v>111</v>
      </c>
      <c r="M727" s="35" t="s">
        <v>50</v>
      </c>
      <c r="N727" s="24"/>
      <c r="O727" s="34" t="s">
        <v>29</v>
      </c>
      <c r="P727" s="34">
        <v>16.0</v>
      </c>
      <c r="Q727" s="34">
        <v>3200.0</v>
      </c>
      <c r="R727" s="34" t="s">
        <v>34</v>
      </c>
      <c r="S727" s="34" t="s">
        <v>1220</v>
      </c>
    </row>
    <row r="728" ht="15.75" customHeight="1">
      <c r="A728" s="33">
        <v>45770.50765796297</v>
      </c>
      <c r="B728" s="34" t="s">
        <v>294</v>
      </c>
      <c r="C728" s="34" t="s">
        <v>1463</v>
      </c>
      <c r="D728" s="34" t="s">
        <v>38</v>
      </c>
      <c r="E728" s="34" t="s">
        <v>1090</v>
      </c>
      <c r="F728" s="34">
        <v>1.0</v>
      </c>
      <c r="G728" s="34">
        <v>20.0</v>
      </c>
      <c r="H728" s="34" t="s">
        <v>40</v>
      </c>
      <c r="J728" s="34" t="s">
        <v>1636</v>
      </c>
      <c r="K728" s="34" t="s">
        <v>1637</v>
      </c>
      <c r="L728" s="34" t="s">
        <v>538</v>
      </c>
      <c r="M728" s="37" t="s">
        <v>1638</v>
      </c>
      <c r="N728" s="24"/>
      <c r="O728" s="34" t="s">
        <v>40</v>
      </c>
      <c r="P728" s="34">
        <v>16.0</v>
      </c>
      <c r="Q728" s="34">
        <v>3200.0</v>
      </c>
      <c r="R728" s="34" t="s">
        <v>34</v>
      </c>
      <c r="S728" s="34" t="s">
        <v>1217</v>
      </c>
    </row>
    <row r="729" ht="15.75" customHeight="1">
      <c r="A729" s="33">
        <v>45774.12661274306</v>
      </c>
      <c r="B729" s="34" t="s">
        <v>465</v>
      </c>
      <c r="C729" s="34" t="s">
        <v>1463</v>
      </c>
      <c r="D729" s="34" t="s">
        <v>119</v>
      </c>
      <c r="E729" s="34" t="s">
        <v>473</v>
      </c>
      <c r="F729" s="34">
        <v>1.0</v>
      </c>
      <c r="G729" s="34">
        <v>18.0</v>
      </c>
      <c r="H729" s="34" t="s">
        <v>29</v>
      </c>
      <c r="I729" s="34" t="s">
        <v>40</v>
      </c>
      <c r="J729" s="34" t="s">
        <v>1639</v>
      </c>
      <c r="K729" s="34" t="s">
        <v>1640</v>
      </c>
      <c r="L729" s="34" t="s">
        <v>668</v>
      </c>
      <c r="M729" s="24"/>
      <c r="N729" s="37" t="s">
        <v>1641</v>
      </c>
      <c r="O729" s="34" t="s">
        <v>126</v>
      </c>
      <c r="P729" s="34">
        <v>16.0</v>
      </c>
      <c r="Q729" s="34">
        <v>2666.0</v>
      </c>
      <c r="R729" s="34" t="s">
        <v>34</v>
      </c>
      <c r="S729" s="34" t="s">
        <v>1225</v>
      </c>
    </row>
    <row r="730" ht="15.75" customHeight="1">
      <c r="A730" s="33">
        <v>45776.12281753472</v>
      </c>
      <c r="B730" s="34" t="s">
        <v>1642</v>
      </c>
      <c r="C730" s="34" t="s">
        <v>1463</v>
      </c>
      <c r="D730" s="34" t="s">
        <v>27</v>
      </c>
      <c r="E730" s="34" t="s">
        <v>28</v>
      </c>
      <c r="F730" s="34">
        <v>2.0</v>
      </c>
      <c r="G730" s="34">
        <v>32.0</v>
      </c>
      <c r="H730" s="34" t="s">
        <v>29</v>
      </c>
      <c r="I730" s="34" t="s">
        <v>40</v>
      </c>
      <c r="K730" s="34" t="s">
        <v>1643</v>
      </c>
      <c r="M730" s="24"/>
      <c r="N730" s="24"/>
      <c r="O730" s="34" t="s">
        <v>29</v>
      </c>
      <c r="P730" s="34">
        <v>16.0</v>
      </c>
      <c r="Q730" s="34">
        <v>2666.0</v>
      </c>
      <c r="R730" s="34" t="s">
        <v>34</v>
      </c>
      <c r="S730" s="34" t="s">
        <v>1220</v>
      </c>
    </row>
    <row r="731" ht="15.75" customHeight="1">
      <c r="A731" s="33">
        <v>45776.78009837963</v>
      </c>
      <c r="B731" s="34" t="s">
        <v>169</v>
      </c>
      <c r="C731" s="34" t="s">
        <v>1034</v>
      </c>
      <c r="D731" s="34" t="s">
        <v>565</v>
      </c>
      <c r="E731" s="34" t="s">
        <v>1644</v>
      </c>
      <c r="F731" s="34">
        <v>2.0</v>
      </c>
      <c r="G731" s="34">
        <v>64.0</v>
      </c>
      <c r="H731" s="34" t="s">
        <v>29</v>
      </c>
      <c r="I731" s="34" t="s">
        <v>40</v>
      </c>
      <c r="J731" s="34" t="s">
        <v>1645</v>
      </c>
      <c r="K731" s="34" t="s">
        <v>1646</v>
      </c>
      <c r="L731" s="34" t="s">
        <v>111</v>
      </c>
      <c r="M731" s="35" t="s">
        <v>50</v>
      </c>
      <c r="N731" s="24"/>
      <c r="O731" s="34" t="s">
        <v>29</v>
      </c>
      <c r="P731" s="34">
        <v>32.0</v>
      </c>
      <c r="Q731" s="34">
        <v>2666.0</v>
      </c>
      <c r="R731" s="34" t="s">
        <v>34</v>
      </c>
      <c r="S731" s="34" t="s">
        <v>1225</v>
      </c>
    </row>
    <row r="732" ht="15.75" customHeight="1">
      <c r="A732" s="33">
        <v>45777.44572788195</v>
      </c>
      <c r="B732" s="34" t="s">
        <v>61</v>
      </c>
      <c r="C732" s="34" t="s">
        <v>1463</v>
      </c>
      <c r="D732" s="34" t="s">
        <v>71</v>
      </c>
      <c r="E732" s="34" t="s">
        <v>1481</v>
      </c>
      <c r="F732" s="34">
        <v>2.0</v>
      </c>
      <c r="G732" s="34">
        <v>16.0</v>
      </c>
      <c r="H732" s="34" t="s">
        <v>29</v>
      </c>
      <c r="I732" s="34" t="s">
        <v>40</v>
      </c>
      <c r="J732" s="34" t="s">
        <v>1647</v>
      </c>
      <c r="K732" s="34" t="s">
        <v>1648</v>
      </c>
      <c r="L732" s="34" t="s">
        <v>111</v>
      </c>
      <c r="M732" s="35" t="s">
        <v>50</v>
      </c>
      <c r="N732" s="24"/>
      <c r="O732" s="34" t="s">
        <v>40</v>
      </c>
      <c r="P732" s="34">
        <v>8.0</v>
      </c>
      <c r="Q732" s="34">
        <v>1600.0</v>
      </c>
      <c r="R732" s="34" t="s">
        <v>1219</v>
      </c>
      <c r="S732" s="34" t="s">
        <v>1217</v>
      </c>
    </row>
    <row r="733" ht="15.75" customHeight="1">
      <c r="A733" s="33">
        <v>45780.81019016204</v>
      </c>
      <c r="B733" s="34" t="s">
        <v>45</v>
      </c>
      <c r="C733" s="34" t="s">
        <v>1463</v>
      </c>
      <c r="D733" s="34" t="s">
        <v>101</v>
      </c>
      <c r="E733" s="34" t="s">
        <v>102</v>
      </c>
      <c r="F733" s="34">
        <v>2.0</v>
      </c>
      <c r="G733" s="34">
        <v>32.0</v>
      </c>
      <c r="H733" s="34" t="s">
        <v>29</v>
      </c>
      <c r="I733" s="34" t="s">
        <v>40</v>
      </c>
      <c r="J733" s="34" t="s">
        <v>1649</v>
      </c>
      <c r="K733" s="34" t="s">
        <v>1650</v>
      </c>
      <c r="L733" s="34" t="s">
        <v>186</v>
      </c>
      <c r="M733" s="35" t="s">
        <v>1651</v>
      </c>
      <c r="N733" s="37" t="s">
        <v>1652</v>
      </c>
      <c r="O733" s="34" t="s">
        <v>29</v>
      </c>
      <c r="P733" s="34">
        <v>16.0</v>
      </c>
      <c r="Q733" s="34">
        <v>3200.0</v>
      </c>
      <c r="R733" s="34" t="s">
        <v>34</v>
      </c>
      <c r="S733" s="34" t="s">
        <v>1217</v>
      </c>
    </row>
    <row r="734" ht="15.75" customHeight="1">
      <c r="A734" s="33">
        <v>45779.60781075231</v>
      </c>
      <c r="B734" s="34" t="s">
        <v>288</v>
      </c>
      <c r="C734" s="34" t="s">
        <v>1463</v>
      </c>
      <c r="D734" s="34" t="s">
        <v>119</v>
      </c>
      <c r="E734" s="34" t="s">
        <v>120</v>
      </c>
      <c r="F734" s="34">
        <v>1.0</v>
      </c>
      <c r="G734" s="34">
        <v>10.0</v>
      </c>
      <c r="H734" s="34" t="s">
        <v>29</v>
      </c>
      <c r="I734" s="34" t="s">
        <v>40</v>
      </c>
      <c r="K734" s="34" t="s">
        <v>1653</v>
      </c>
      <c r="L734" s="34" t="s">
        <v>111</v>
      </c>
      <c r="M734" s="37" t="s">
        <v>1654</v>
      </c>
      <c r="N734" s="24"/>
      <c r="O734" s="34" t="s">
        <v>40</v>
      </c>
      <c r="P734" s="34">
        <v>8.0</v>
      </c>
      <c r="Q734" s="34">
        <v>2666.0</v>
      </c>
      <c r="R734" s="34" t="s">
        <v>34</v>
      </c>
      <c r="S734" s="34" t="s">
        <v>1217</v>
      </c>
    </row>
    <row r="735" ht="15.75" customHeight="1">
      <c r="A735" s="33">
        <v>45779.611410439815</v>
      </c>
      <c r="B735" s="34" t="s">
        <v>288</v>
      </c>
      <c r="C735" s="34" t="s">
        <v>1463</v>
      </c>
      <c r="D735" s="34" t="s">
        <v>107</v>
      </c>
      <c r="E735" s="34" t="s">
        <v>108</v>
      </c>
      <c r="F735" s="34">
        <v>1.0</v>
      </c>
      <c r="G735" s="34">
        <v>18.0</v>
      </c>
      <c r="H735" s="34" t="s">
        <v>29</v>
      </c>
      <c r="I735" s="34" t="s">
        <v>40</v>
      </c>
      <c r="K735" s="34" t="s">
        <v>1653</v>
      </c>
      <c r="M735" s="37" t="s">
        <v>1655</v>
      </c>
      <c r="N735" s="24"/>
      <c r="O735" s="34" t="s">
        <v>40</v>
      </c>
      <c r="P735" s="34">
        <v>16.0</v>
      </c>
      <c r="Q735" s="34">
        <v>2666.0</v>
      </c>
      <c r="R735" s="34" t="s">
        <v>34</v>
      </c>
      <c r="S735" s="34" t="s">
        <v>1225</v>
      </c>
    </row>
    <row r="736" ht="15.75" customHeight="1">
      <c r="A736" s="33">
        <v>45780.03933457176</v>
      </c>
      <c r="B736" s="34" t="s">
        <v>465</v>
      </c>
      <c r="C736" s="34" t="s">
        <v>1463</v>
      </c>
      <c r="D736" s="34" t="s">
        <v>38</v>
      </c>
      <c r="E736" s="34" t="s">
        <v>153</v>
      </c>
      <c r="F736" s="34">
        <v>1.0</v>
      </c>
      <c r="G736" s="34">
        <v>10.0</v>
      </c>
      <c r="H736" s="34" t="s">
        <v>29</v>
      </c>
      <c r="I736" s="34" t="s">
        <v>40</v>
      </c>
      <c r="K736" s="34" t="s">
        <v>1656</v>
      </c>
      <c r="L736" s="34" t="s">
        <v>186</v>
      </c>
      <c r="M736" s="37" t="s">
        <v>1657</v>
      </c>
      <c r="N736" s="24"/>
      <c r="O736" s="34" t="s">
        <v>40</v>
      </c>
      <c r="P736" s="34">
        <v>8.0</v>
      </c>
      <c r="Q736" s="34">
        <v>3200.0</v>
      </c>
      <c r="R736" s="34" t="s">
        <v>34</v>
      </c>
      <c r="S736" s="34" t="s">
        <v>1220</v>
      </c>
    </row>
    <row r="737" ht="15.75" customHeight="1">
      <c r="A737" s="33">
        <v>45780.65059599537</v>
      </c>
      <c r="B737" s="34" t="s">
        <v>288</v>
      </c>
      <c r="C737" s="34" t="s">
        <v>1463</v>
      </c>
      <c r="D737" s="34" t="s">
        <v>119</v>
      </c>
      <c r="E737" s="34" t="s">
        <v>473</v>
      </c>
      <c r="F737" s="34">
        <v>1.0</v>
      </c>
      <c r="G737" s="34">
        <v>18.0</v>
      </c>
      <c r="H737" s="34" t="s">
        <v>29</v>
      </c>
      <c r="I737" s="34" t="s">
        <v>40</v>
      </c>
      <c r="K737" s="34" t="s">
        <v>987</v>
      </c>
      <c r="L737" s="34" t="s">
        <v>31</v>
      </c>
      <c r="M737" s="24"/>
      <c r="N737" s="24"/>
      <c r="O737" s="34" t="s">
        <v>40</v>
      </c>
      <c r="P737" s="34">
        <v>16.0</v>
      </c>
      <c r="Q737" s="34">
        <v>2666.0</v>
      </c>
      <c r="R737" s="34" t="s">
        <v>34</v>
      </c>
      <c r="S737" s="34" t="s">
        <v>1225</v>
      </c>
    </row>
    <row r="738" ht="15.75" customHeight="1">
      <c r="A738" s="33">
        <v>45781.45254107639</v>
      </c>
      <c r="B738" s="34" t="s">
        <v>2</v>
      </c>
      <c r="C738" s="34" t="s">
        <v>1463</v>
      </c>
      <c r="D738" s="34" t="s">
        <v>107</v>
      </c>
      <c r="E738" s="34" t="s">
        <v>1658</v>
      </c>
      <c r="F738" s="34">
        <v>2.0</v>
      </c>
      <c r="G738" s="34">
        <v>32.0</v>
      </c>
      <c r="H738" s="34" t="s">
        <v>29</v>
      </c>
      <c r="I738" s="34" t="s">
        <v>40</v>
      </c>
      <c r="K738" s="34" t="s">
        <v>1659</v>
      </c>
      <c r="L738" s="34" t="s">
        <v>1660</v>
      </c>
      <c r="M738" s="24"/>
      <c r="N738" s="37" t="s">
        <v>1661</v>
      </c>
      <c r="O738" s="34" t="s">
        <v>29</v>
      </c>
      <c r="P738" s="34">
        <v>16.0</v>
      </c>
      <c r="Q738" s="34">
        <v>3200.0</v>
      </c>
      <c r="R738" s="34" t="s">
        <v>34</v>
      </c>
      <c r="S738" s="34" t="s">
        <v>1225</v>
      </c>
    </row>
    <row r="739" ht="15.75" customHeight="1">
      <c r="A739" s="33">
        <v>45786.092019895834</v>
      </c>
      <c r="B739" s="34" t="s">
        <v>288</v>
      </c>
      <c r="C739" s="34" t="s">
        <v>1463</v>
      </c>
      <c r="D739" s="34" t="s">
        <v>38</v>
      </c>
      <c r="E739" s="34" t="s">
        <v>177</v>
      </c>
      <c r="F739" s="34">
        <v>1.0</v>
      </c>
      <c r="G739" s="34">
        <v>10.0</v>
      </c>
      <c r="H739" s="34" t="s">
        <v>29</v>
      </c>
      <c r="I739" s="34" t="s">
        <v>40</v>
      </c>
      <c r="J739" s="34" t="s">
        <v>1662</v>
      </c>
      <c r="K739" s="34" t="s">
        <v>1663</v>
      </c>
      <c r="L739" s="34" t="s">
        <v>186</v>
      </c>
      <c r="M739" s="37" t="s">
        <v>472</v>
      </c>
      <c r="N739" s="24"/>
      <c r="O739" s="34" t="s">
        <v>40</v>
      </c>
      <c r="P739" s="34">
        <v>8.0</v>
      </c>
      <c r="Q739" s="34">
        <v>2400.0</v>
      </c>
      <c r="R739" s="34" t="s">
        <v>34</v>
      </c>
      <c r="S739" s="34" t="s">
        <v>1220</v>
      </c>
    </row>
    <row r="740" ht="15.75" customHeight="1">
      <c r="A740" s="33">
        <v>45789.45498300926</v>
      </c>
      <c r="B740" s="34" t="s">
        <v>1327</v>
      </c>
      <c r="C740" s="34" t="s">
        <v>1463</v>
      </c>
      <c r="D740" s="34" t="s">
        <v>71</v>
      </c>
      <c r="E740" s="34" t="s">
        <v>345</v>
      </c>
      <c r="F740" s="34">
        <v>1.0</v>
      </c>
      <c r="G740" s="34">
        <v>18.0</v>
      </c>
      <c r="H740" s="34" t="s">
        <v>29</v>
      </c>
      <c r="I740" s="34" t="s">
        <v>40</v>
      </c>
      <c r="J740" s="34" t="s">
        <v>1664</v>
      </c>
      <c r="K740" s="34" t="s">
        <v>1665</v>
      </c>
      <c r="L740" s="34" t="s">
        <v>186</v>
      </c>
      <c r="M740" s="35" t="s">
        <v>399</v>
      </c>
      <c r="N740" s="37" t="s">
        <v>1666</v>
      </c>
      <c r="O740" s="34" t="s">
        <v>40</v>
      </c>
      <c r="P740" s="34">
        <v>16.0</v>
      </c>
      <c r="Q740" s="34">
        <v>2666.0</v>
      </c>
      <c r="R740" s="34" t="s">
        <v>34</v>
      </c>
      <c r="S740" s="34" t="s">
        <v>1225</v>
      </c>
    </row>
    <row r="741" ht="15.75" customHeight="1">
      <c r="A741" s="33">
        <v>45792.65930516204</v>
      </c>
      <c r="B741" s="34" t="s">
        <v>465</v>
      </c>
      <c r="C741" s="34" t="s">
        <v>1463</v>
      </c>
      <c r="D741" s="34" t="s">
        <v>119</v>
      </c>
      <c r="E741" s="34" t="s">
        <v>120</v>
      </c>
      <c r="F741" s="34">
        <v>1.0</v>
      </c>
      <c r="G741" s="34">
        <v>10.0</v>
      </c>
      <c r="H741" s="34" t="s">
        <v>29</v>
      </c>
      <c r="I741" s="34" t="s">
        <v>40</v>
      </c>
      <c r="K741" s="34" t="s">
        <v>1667</v>
      </c>
      <c r="L741" s="34" t="s">
        <v>445</v>
      </c>
      <c r="M741" s="35" t="s">
        <v>446</v>
      </c>
      <c r="N741" s="37" t="s">
        <v>1668</v>
      </c>
      <c r="O741" s="34" t="s">
        <v>126</v>
      </c>
      <c r="P741" s="34">
        <v>8.0</v>
      </c>
      <c r="Q741" s="34">
        <v>2666.0</v>
      </c>
      <c r="R741" s="34" t="s">
        <v>34</v>
      </c>
      <c r="S741" s="34" t="s">
        <v>1217</v>
      </c>
    </row>
    <row r="742" ht="15.75" customHeight="1">
      <c r="A742" s="33">
        <v>45793.79740737268</v>
      </c>
      <c r="B742" s="34" t="s">
        <v>465</v>
      </c>
      <c r="C742" s="34" t="s">
        <v>1463</v>
      </c>
      <c r="D742" s="34" t="s">
        <v>245</v>
      </c>
      <c r="E742" s="34" t="s">
        <v>1669</v>
      </c>
      <c r="F742" s="34">
        <v>1.0</v>
      </c>
      <c r="G742" s="34">
        <v>10.0</v>
      </c>
      <c r="H742" s="34" t="s">
        <v>29</v>
      </c>
      <c r="I742" s="34" t="s">
        <v>40</v>
      </c>
      <c r="K742" s="34" t="s">
        <v>1670</v>
      </c>
      <c r="L742" s="34" t="s">
        <v>1671</v>
      </c>
      <c r="M742" s="24"/>
      <c r="N742" s="37" t="s">
        <v>1672</v>
      </c>
      <c r="O742" s="34" t="s">
        <v>126</v>
      </c>
      <c r="P742" s="34">
        <v>8.0</v>
      </c>
      <c r="Q742" s="34">
        <v>3200.0</v>
      </c>
      <c r="R742" s="34" t="s">
        <v>34</v>
      </c>
      <c r="S742" s="34" t="s">
        <v>1217</v>
      </c>
    </row>
    <row r="743" ht="15.75" customHeight="1">
      <c r="A743" s="33">
        <v>45796.36422554398</v>
      </c>
      <c r="B743" s="34" t="s">
        <v>980</v>
      </c>
      <c r="C743" s="34" t="s">
        <v>1275</v>
      </c>
      <c r="D743" s="34" t="s">
        <v>716</v>
      </c>
      <c r="E743" s="34" t="s">
        <v>161</v>
      </c>
      <c r="F743" s="34">
        <v>2.0</v>
      </c>
      <c r="G743" s="34">
        <v>32.0</v>
      </c>
      <c r="H743" s="34" t="s">
        <v>29</v>
      </c>
      <c r="I743" s="34" t="s">
        <v>40</v>
      </c>
      <c r="K743" s="34" t="s">
        <v>1673</v>
      </c>
      <c r="L743" s="34" t="s">
        <v>186</v>
      </c>
      <c r="M743" s="38" t="s">
        <v>399</v>
      </c>
      <c r="N743" s="24"/>
      <c r="O743" s="34" t="s">
        <v>29</v>
      </c>
      <c r="P743" s="34">
        <v>16.0</v>
      </c>
      <c r="Q743" s="34">
        <v>2666.0</v>
      </c>
      <c r="R743" s="34" t="s">
        <v>34</v>
      </c>
      <c r="S743" s="34" t="s">
        <v>1225</v>
      </c>
    </row>
    <row r="744" ht="15.75" customHeight="1">
      <c r="A744" s="33">
        <v>45796.789820624996</v>
      </c>
      <c r="B744" s="34" t="s">
        <v>288</v>
      </c>
      <c r="C744" s="34" t="s">
        <v>1463</v>
      </c>
      <c r="D744" s="34" t="s">
        <v>27</v>
      </c>
      <c r="E744" s="34" t="s">
        <v>329</v>
      </c>
      <c r="F744" s="34">
        <v>1.0</v>
      </c>
      <c r="G744" s="34">
        <v>10.0</v>
      </c>
      <c r="H744" s="34" t="s">
        <v>29</v>
      </c>
      <c r="I744" s="34" t="s">
        <v>40</v>
      </c>
      <c r="K744" s="34" t="s">
        <v>1674</v>
      </c>
      <c r="L744" s="34" t="s">
        <v>1675</v>
      </c>
      <c r="M744" s="35" t="s">
        <v>1676</v>
      </c>
      <c r="N744" s="37" t="s">
        <v>1677</v>
      </c>
      <c r="O744" s="34" t="s">
        <v>40</v>
      </c>
      <c r="P744" s="34">
        <v>8.0</v>
      </c>
      <c r="Q744" s="34">
        <v>2666.0</v>
      </c>
      <c r="R744" s="34" t="s">
        <v>34</v>
      </c>
      <c r="S744" s="34" t="s">
        <v>1217</v>
      </c>
    </row>
    <row r="745" ht="15.75" customHeight="1">
      <c r="A745" s="33">
        <v>45797.35948175926</v>
      </c>
      <c r="B745" s="34" t="s">
        <v>124</v>
      </c>
      <c r="C745" s="34" t="s">
        <v>1463</v>
      </c>
      <c r="D745" s="34" t="s">
        <v>119</v>
      </c>
      <c r="E745" s="34" t="s">
        <v>473</v>
      </c>
      <c r="F745" s="34">
        <v>1.0</v>
      </c>
      <c r="G745" s="34">
        <v>18.0</v>
      </c>
      <c r="H745" s="34" t="s">
        <v>29</v>
      </c>
      <c r="I745" s="34" t="s">
        <v>40</v>
      </c>
      <c r="K745" s="34" t="s">
        <v>1678</v>
      </c>
      <c r="L745" s="34" t="s">
        <v>93</v>
      </c>
      <c r="M745" s="35" t="s">
        <v>225</v>
      </c>
      <c r="N745" s="37" t="s">
        <v>1679</v>
      </c>
      <c r="O745" s="34" t="s">
        <v>40</v>
      </c>
      <c r="P745" s="34">
        <v>16.0</v>
      </c>
      <c r="Q745" s="34">
        <v>2666.0</v>
      </c>
      <c r="R745" s="34" t="s">
        <v>34</v>
      </c>
      <c r="S745" s="34" t="s">
        <v>1217</v>
      </c>
    </row>
    <row r="746" ht="15.75" customHeight="1">
      <c r="A746" s="33">
        <v>45799.64763197917</v>
      </c>
      <c r="B746" s="34" t="s">
        <v>465</v>
      </c>
      <c r="C746" s="34" t="s">
        <v>1034</v>
      </c>
      <c r="D746" s="34" t="s">
        <v>852</v>
      </c>
      <c r="E746" s="34" t="s">
        <v>853</v>
      </c>
      <c r="F746" s="34">
        <v>1.0</v>
      </c>
      <c r="G746" s="34">
        <v>6.0</v>
      </c>
      <c r="H746" s="34" t="s">
        <v>29</v>
      </c>
      <c r="I746" s="34" t="s">
        <v>40</v>
      </c>
      <c r="K746" s="34" t="s">
        <v>1680</v>
      </c>
      <c r="L746" s="34" t="s">
        <v>585</v>
      </c>
      <c r="M746" s="35" t="s">
        <v>1681</v>
      </c>
      <c r="N746" s="24"/>
      <c r="O746" s="34" t="s">
        <v>40</v>
      </c>
      <c r="P746" s="34">
        <v>4.0</v>
      </c>
      <c r="Q746" s="34">
        <v>2666.0</v>
      </c>
      <c r="R746" s="34" t="s">
        <v>34</v>
      </c>
      <c r="S746" s="34" t="s">
        <v>1220</v>
      </c>
    </row>
    <row r="747" ht="15.75" customHeight="1">
      <c r="A747" s="33">
        <v>45804.638065798616</v>
      </c>
      <c r="B747" s="34" t="s">
        <v>288</v>
      </c>
      <c r="C747" s="34" t="s">
        <v>1463</v>
      </c>
      <c r="D747" s="34" t="s">
        <v>38</v>
      </c>
      <c r="E747" s="34" t="s">
        <v>153</v>
      </c>
      <c r="F747" s="34">
        <v>1.0</v>
      </c>
      <c r="G747" s="34">
        <v>10.0</v>
      </c>
      <c r="H747" s="34" t="s">
        <v>29</v>
      </c>
      <c r="I747" s="34" t="s">
        <v>40</v>
      </c>
      <c r="K747" s="34" t="s">
        <v>1682</v>
      </c>
      <c r="L747" s="34" t="s">
        <v>151</v>
      </c>
      <c r="M747" s="24"/>
      <c r="N747" s="24"/>
      <c r="O747" s="34" t="s">
        <v>40</v>
      </c>
      <c r="P747" s="34">
        <v>8.0</v>
      </c>
      <c r="Q747" s="34">
        <v>3200.0</v>
      </c>
      <c r="R747" s="34" t="s">
        <v>34</v>
      </c>
      <c r="S747" s="34" t="s">
        <v>1217</v>
      </c>
    </row>
    <row r="748" ht="15.75" customHeight="1">
      <c r="A748" s="33">
        <v>45804.850199733795</v>
      </c>
      <c r="B748" s="34" t="s">
        <v>45</v>
      </c>
      <c r="C748" s="34" t="s">
        <v>1463</v>
      </c>
      <c r="D748" s="34" t="s">
        <v>71</v>
      </c>
      <c r="E748" s="34" t="s">
        <v>1318</v>
      </c>
      <c r="F748" s="34">
        <v>2.0</v>
      </c>
      <c r="G748" s="34">
        <v>32.0</v>
      </c>
      <c r="H748" s="34" t="s">
        <v>29</v>
      </c>
      <c r="I748" s="34" t="s">
        <v>40</v>
      </c>
      <c r="K748" s="34" t="s">
        <v>1683</v>
      </c>
      <c r="L748" s="34" t="s">
        <v>31</v>
      </c>
      <c r="M748" s="35" t="s">
        <v>230</v>
      </c>
      <c r="N748" s="37" t="s">
        <v>1684</v>
      </c>
      <c r="O748" s="34" t="s">
        <v>29</v>
      </c>
      <c r="P748" s="34">
        <v>16.0</v>
      </c>
      <c r="Q748" s="34">
        <v>2666.0</v>
      </c>
      <c r="R748" s="34" t="s">
        <v>34</v>
      </c>
      <c r="S748" s="34" t="s">
        <v>1225</v>
      </c>
    </row>
    <row r="749" ht="15.75" customHeight="1">
      <c r="A749" s="33">
        <v>45805.348182974536</v>
      </c>
      <c r="B749" s="34" t="s">
        <v>118</v>
      </c>
      <c r="C749" s="34" t="s">
        <v>1463</v>
      </c>
      <c r="D749" s="34" t="s">
        <v>27</v>
      </c>
      <c r="E749" s="34" t="s">
        <v>212</v>
      </c>
      <c r="F749" s="34">
        <v>1.0</v>
      </c>
      <c r="G749" s="34">
        <v>18.0</v>
      </c>
      <c r="H749" s="34" t="s">
        <v>29</v>
      </c>
      <c r="I749" s="34" t="s">
        <v>40</v>
      </c>
      <c r="K749" s="34" t="s">
        <v>1685</v>
      </c>
      <c r="L749" s="34" t="s">
        <v>103</v>
      </c>
      <c r="M749" s="35" t="s">
        <v>1686</v>
      </c>
      <c r="N749" s="24"/>
      <c r="O749" s="34" t="s">
        <v>126</v>
      </c>
      <c r="P749" s="34">
        <v>16.0</v>
      </c>
      <c r="Q749" s="34">
        <v>2666.0</v>
      </c>
      <c r="R749" s="34" t="s">
        <v>34</v>
      </c>
      <c r="S749" s="34" t="s">
        <v>1220</v>
      </c>
    </row>
    <row r="750" ht="15.75" customHeight="1">
      <c r="A750" s="33">
        <v>45807.09442606481</v>
      </c>
      <c r="B750" s="34" t="s">
        <v>465</v>
      </c>
      <c r="C750" s="34" t="s">
        <v>1463</v>
      </c>
      <c r="D750" s="34" t="s">
        <v>38</v>
      </c>
      <c r="E750" s="34" t="s">
        <v>368</v>
      </c>
      <c r="F750" s="34">
        <v>1.0</v>
      </c>
      <c r="G750" s="34">
        <v>18.0</v>
      </c>
      <c r="H750" s="34" t="s">
        <v>40</v>
      </c>
      <c r="I750" s="34" t="s">
        <v>40</v>
      </c>
      <c r="J750" s="34" t="s">
        <v>1687</v>
      </c>
      <c r="K750" s="34" t="s">
        <v>1688</v>
      </c>
      <c r="L750" s="34" t="s">
        <v>111</v>
      </c>
      <c r="M750" s="37" t="s">
        <v>1689</v>
      </c>
      <c r="N750" s="24"/>
      <c r="O750" s="34" t="s">
        <v>40</v>
      </c>
      <c r="P750" s="34">
        <v>16.0</v>
      </c>
      <c r="Q750" s="34">
        <v>3200.0</v>
      </c>
      <c r="R750" s="34" t="s">
        <v>34</v>
      </c>
      <c r="S750" s="34" t="s">
        <v>1217</v>
      </c>
    </row>
    <row r="751" ht="15.75" customHeight="1">
      <c r="A751" s="33">
        <v>45807.096201990746</v>
      </c>
      <c r="B751" s="34" t="s">
        <v>465</v>
      </c>
      <c r="C751" s="34" t="s">
        <v>1463</v>
      </c>
      <c r="D751" s="34" t="s">
        <v>86</v>
      </c>
      <c r="E751" s="34" t="s">
        <v>891</v>
      </c>
      <c r="F751" s="34">
        <v>1.0</v>
      </c>
      <c r="G751" s="34">
        <v>18.0</v>
      </c>
      <c r="H751" s="34" t="s">
        <v>29</v>
      </c>
      <c r="I751" s="34" t="s">
        <v>40</v>
      </c>
      <c r="K751" s="34" t="s">
        <v>1688</v>
      </c>
      <c r="L751" s="34" t="s">
        <v>111</v>
      </c>
      <c r="M751" s="37" t="s">
        <v>215</v>
      </c>
      <c r="N751" s="24"/>
      <c r="O751" s="34" t="s">
        <v>40</v>
      </c>
      <c r="P751" s="34">
        <v>16.0</v>
      </c>
      <c r="Q751" s="34">
        <v>3200.0</v>
      </c>
      <c r="R751" s="34" t="s">
        <v>34</v>
      </c>
      <c r="S751" s="34" t="s">
        <v>1217</v>
      </c>
    </row>
    <row r="752" ht="15.75" customHeight="1">
      <c r="A752" s="33">
        <v>45807.57677060185</v>
      </c>
      <c r="B752" s="34" t="s">
        <v>124</v>
      </c>
      <c r="C752" s="34" t="s">
        <v>1463</v>
      </c>
      <c r="D752" s="34" t="s">
        <v>716</v>
      </c>
      <c r="E752" s="34" t="s">
        <v>345</v>
      </c>
      <c r="F752" s="34">
        <v>1.0</v>
      </c>
      <c r="G752" s="34">
        <v>18.0</v>
      </c>
      <c r="H752" s="34" t="s">
        <v>29</v>
      </c>
      <c r="I752" s="34" t="s">
        <v>40</v>
      </c>
      <c r="J752" s="34" t="s">
        <v>1690</v>
      </c>
      <c r="K752" s="34" t="s">
        <v>1691</v>
      </c>
      <c r="L752" s="34" t="s">
        <v>136</v>
      </c>
      <c r="M752" s="35" t="s">
        <v>137</v>
      </c>
      <c r="N752" s="37" t="s">
        <v>1692</v>
      </c>
      <c r="O752" s="34" t="s">
        <v>40</v>
      </c>
      <c r="P752" s="34">
        <v>16.0</v>
      </c>
      <c r="Q752" s="34">
        <v>2666.0</v>
      </c>
      <c r="R752" s="34" t="s">
        <v>34</v>
      </c>
      <c r="S752" s="34" t="s">
        <v>1225</v>
      </c>
    </row>
    <row r="753" ht="15.75" customHeight="1">
      <c r="A753" s="33">
        <v>45808.140355462965</v>
      </c>
      <c r="B753" s="34" t="s">
        <v>312</v>
      </c>
      <c r="C753" s="34" t="s">
        <v>1463</v>
      </c>
      <c r="D753" s="34" t="s">
        <v>565</v>
      </c>
      <c r="E753" s="34" t="s">
        <v>1693</v>
      </c>
      <c r="F753" s="34">
        <v>2.0</v>
      </c>
      <c r="G753" s="34">
        <v>32.0</v>
      </c>
      <c r="H753" s="34" t="s">
        <v>29</v>
      </c>
      <c r="I753" s="34" t="s">
        <v>40</v>
      </c>
      <c r="J753" s="34" t="s">
        <v>1694</v>
      </c>
      <c r="K753" s="34" t="s">
        <v>1695</v>
      </c>
      <c r="L753" s="34" t="s">
        <v>111</v>
      </c>
      <c r="M753" s="37" t="s">
        <v>1696</v>
      </c>
      <c r="N753" s="24"/>
      <c r="O753" s="34" t="s">
        <v>29</v>
      </c>
      <c r="P753" s="34">
        <v>32.0</v>
      </c>
      <c r="Q753" s="34">
        <v>3200.0</v>
      </c>
      <c r="R753" s="34" t="s">
        <v>34</v>
      </c>
      <c r="S753" s="34" t="s">
        <v>1217</v>
      </c>
    </row>
    <row r="754" ht="15.75" customHeight="1">
      <c r="A754" s="33">
        <v>45809.35214077546</v>
      </c>
      <c r="B754" s="34" t="s">
        <v>465</v>
      </c>
      <c r="C754" s="34" t="s">
        <v>1463</v>
      </c>
      <c r="D754" s="34" t="s">
        <v>716</v>
      </c>
      <c r="E754" s="34" t="s">
        <v>345</v>
      </c>
      <c r="F754" s="34">
        <v>1.0</v>
      </c>
      <c r="G754" s="34">
        <v>18.0</v>
      </c>
      <c r="H754" s="34" t="s">
        <v>29</v>
      </c>
      <c r="I754" s="34" t="s">
        <v>40</v>
      </c>
      <c r="K754" s="34" t="s">
        <v>1697</v>
      </c>
      <c r="L754" s="34" t="s">
        <v>186</v>
      </c>
      <c r="M754" s="35" t="s">
        <v>50</v>
      </c>
      <c r="N754" s="24"/>
      <c r="O754" s="34" t="s">
        <v>40</v>
      </c>
      <c r="P754" s="34">
        <v>16.0</v>
      </c>
      <c r="Q754" s="34">
        <v>2666.0</v>
      </c>
      <c r="R754" s="34" t="s">
        <v>34</v>
      </c>
      <c r="S754" s="34" t="s">
        <v>1225</v>
      </c>
    </row>
    <row r="755" ht="15.75" customHeight="1">
      <c r="A755" s="33">
        <v>45811.40502657407</v>
      </c>
      <c r="B755" s="34" t="s">
        <v>288</v>
      </c>
      <c r="C755" s="34" t="s">
        <v>1463</v>
      </c>
      <c r="D755" s="34" t="s">
        <v>789</v>
      </c>
      <c r="E755" s="34" t="s">
        <v>1698</v>
      </c>
      <c r="F755" s="34">
        <v>1.0</v>
      </c>
      <c r="G755" s="34">
        <v>18.0</v>
      </c>
      <c r="H755" s="34" t="s">
        <v>29</v>
      </c>
      <c r="I755" s="34" t="s">
        <v>40</v>
      </c>
      <c r="J755" s="34" t="s">
        <v>1699</v>
      </c>
      <c r="K755" s="34" t="s">
        <v>1700</v>
      </c>
      <c r="L755" s="34" t="s">
        <v>93</v>
      </c>
      <c r="M755" s="35" t="s">
        <v>1701</v>
      </c>
      <c r="N755" s="37" t="s">
        <v>1702</v>
      </c>
      <c r="O755" s="34" t="s">
        <v>40</v>
      </c>
      <c r="P755" s="34">
        <v>16.0</v>
      </c>
      <c r="Q755" s="34">
        <v>3200.0</v>
      </c>
      <c r="R755" s="34" t="s">
        <v>34</v>
      </c>
      <c r="S755" s="34" t="s">
        <v>1220</v>
      </c>
    </row>
    <row r="756" ht="15.75" customHeight="1">
      <c r="A756" s="33">
        <v>45813.71956200231</v>
      </c>
      <c r="B756" s="34" t="s">
        <v>298</v>
      </c>
      <c r="C756" s="34" t="s">
        <v>1554</v>
      </c>
      <c r="D756" s="34" t="s">
        <v>1046</v>
      </c>
      <c r="E756" s="34" t="s">
        <v>1703</v>
      </c>
      <c r="F756" s="34">
        <v>2.0</v>
      </c>
      <c r="G756" s="34">
        <v>16.0</v>
      </c>
      <c r="H756" s="34" t="s">
        <v>29</v>
      </c>
      <c r="I756" s="34" t="s">
        <v>40</v>
      </c>
      <c r="K756" s="34" t="s">
        <v>1704</v>
      </c>
      <c r="M756" s="24"/>
      <c r="N756" s="24"/>
      <c r="O756" s="34" t="s">
        <v>126</v>
      </c>
      <c r="P756" s="34">
        <v>8.0</v>
      </c>
      <c r="Q756" s="34">
        <v>1600.0</v>
      </c>
      <c r="R756" s="34" t="s">
        <v>1219</v>
      </c>
      <c r="S756" s="34" t="s">
        <v>1220</v>
      </c>
    </row>
    <row r="757" ht="15.75" customHeight="1">
      <c r="A757" s="33">
        <v>45815.686303229166</v>
      </c>
      <c r="B757" s="34" t="s">
        <v>288</v>
      </c>
      <c r="D757" s="34" t="s">
        <v>101</v>
      </c>
      <c r="E757" s="34" t="s">
        <v>1705</v>
      </c>
      <c r="H757" s="34" t="s">
        <v>40</v>
      </c>
      <c r="I757" s="34" t="s">
        <v>40</v>
      </c>
      <c r="J757" s="34" t="s">
        <v>1706</v>
      </c>
      <c r="K757" s="34" t="s">
        <v>1707</v>
      </c>
      <c r="M757" s="24"/>
      <c r="N757" s="24"/>
      <c r="O757" s="34" t="s">
        <v>126</v>
      </c>
      <c r="P757" s="34">
        <v>16.0</v>
      </c>
      <c r="Q757" s="34">
        <v>3200.0</v>
      </c>
      <c r="R757" s="34" t="s">
        <v>34</v>
      </c>
      <c r="S757" s="34" t="s">
        <v>1220</v>
      </c>
    </row>
    <row r="758" ht="15.75" customHeight="1">
      <c r="A758" s="33">
        <v>45815.69193353009</v>
      </c>
      <c r="B758" s="34" t="s">
        <v>288</v>
      </c>
      <c r="D758" s="34" t="s">
        <v>119</v>
      </c>
      <c r="E758" s="34" t="s">
        <v>1708</v>
      </c>
      <c r="H758" s="34" t="s">
        <v>40</v>
      </c>
      <c r="I758" s="34" t="s">
        <v>40</v>
      </c>
      <c r="J758" s="34" t="s">
        <v>1709</v>
      </c>
      <c r="K758" s="34" t="s">
        <v>1707</v>
      </c>
      <c r="M758" s="24"/>
      <c r="N758" s="24"/>
      <c r="O758" s="34" t="s">
        <v>126</v>
      </c>
      <c r="P758" s="34">
        <v>8.0</v>
      </c>
      <c r="R758" s="34" t="s">
        <v>34</v>
      </c>
    </row>
    <row r="759" ht="15.75" customHeight="1">
      <c r="A759" s="33">
        <v>45815.70921193287</v>
      </c>
      <c r="B759" s="34" t="s">
        <v>288</v>
      </c>
      <c r="D759" s="34" t="s">
        <v>1046</v>
      </c>
      <c r="E759" s="34" t="s">
        <v>289</v>
      </c>
      <c r="F759" s="34">
        <v>1.0</v>
      </c>
      <c r="G759" s="34">
        <v>10.0</v>
      </c>
      <c r="H759" s="34" t="s">
        <v>29</v>
      </c>
      <c r="I759" s="34" t="s">
        <v>40</v>
      </c>
      <c r="J759" s="34" t="s">
        <v>1710</v>
      </c>
      <c r="K759" s="34" t="s">
        <v>1707</v>
      </c>
      <c r="L759" s="34" t="s">
        <v>140</v>
      </c>
      <c r="M759" s="24"/>
      <c r="N759" s="24"/>
      <c r="O759" s="34" t="s">
        <v>40</v>
      </c>
      <c r="P759" s="34">
        <v>8.0</v>
      </c>
      <c r="Q759" s="34">
        <v>2400.0</v>
      </c>
      <c r="R759" s="34" t="s">
        <v>34</v>
      </c>
      <c r="S759" s="34" t="s">
        <v>1220</v>
      </c>
    </row>
    <row r="760" ht="15.75" customHeight="1">
      <c r="A760" s="33">
        <v>45817.95433152778</v>
      </c>
      <c r="B760" s="34" t="s">
        <v>465</v>
      </c>
      <c r="C760" s="34" t="s">
        <v>1463</v>
      </c>
      <c r="D760" s="34" t="s">
        <v>38</v>
      </c>
      <c r="E760" s="34" t="s">
        <v>368</v>
      </c>
      <c r="F760" s="34">
        <v>1.0</v>
      </c>
      <c r="H760" s="34" t="s">
        <v>40</v>
      </c>
      <c r="I760" s="34" t="s">
        <v>40</v>
      </c>
      <c r="K760" s="34" t="s">
        <v>1711</v>
      </c>
      <c r="L760" s="34" t="s">
        <v>219</v>
      </c>
      <c r="M760" s="35" t="s">
        <v>1320</v>
      </c>
      <c r="N760" s="24"/>
      <c r="O760" s="34" t="s">
        <v>126</v>
      </c>
      <c r="P760" s="34">
        <v>16.0</v>
      </c>
      <c r="Q760" s="34">
        <v>3200.0</v>
      </c>
      <c r="R760" s="34" t="s">
        <v>34</v>
      </c>
      <c r="S760" s="34" t="s">
        <v>1217</v>
      </c>
    </row>
    <row r="761" ht="15.75" customHeight="1">
      <c r="A761" s="33">
        <v>45823.306433148144</v>
      </c>
      <c r="B761" s="34" t="s">
        <v>124</v>
      </c>
      <c r="C761" s="34" t="s">
        <v>1463</v>
      </c>
      <c r="D761" s="34" t="s">
        <v>71</v>
      </c>
      <c r="E761" s="34" t="s">
        <v>345</v>
      </c>
      <c r="F761" s="34">
        <v>1.0</v>
      </c>
      <c r="G761" s="34">
        <v>18.0</v>
      </c>
      <c r="H761" s="34" t="s">
        <v>29</v>
      </c>
      <c r="I761" s="34" t="s">
        <v>40</v>
      </c>
      <c r="J761" s="34" t="s">
        <v>1712</v>
      </c>
      <c r="K761" s="34" t="s">
        <v>1713</v>
      </c>
      <c r="L761" s="34" t="s">
        <v>186</v>
      </c>
      <c r="M761" s="37" t="s">
        <v>1714</v>
      </c>
      <c r="N761" s="37" t="s">
        <v>1715</v>
      </c>
      <c r="O761" s="34" t="s">
        <v>40</v>
      </c>
      <c r="P761" s="34">
        <v>16.0</v>
      </c>
      <c r="Q761" s="34">
        <v>2666.0</v>
      </c>
      <c r="R761" s="34" t="s">
        <v>34</v>
      </c>
      <c r="S761" s="34" t="s">
        <v>1225</v>
      </c>
    </row>
    <row r="762" ht="15.75" customHeight="1">
      <c r="A762" s="33">
        <v>45823.367856875004</v>
      </c>
      <c r="B762" s="34" t="s">
        <v>288</v>
      </c>
      <c r="C762" s="34" t="s">
        <v>1463</v>
      </c>
      <c r="D762" s="34" t="s">
        <v>1716</v>
      </c>
      <c r="E762" s="34" t="s">
        <v>1717</v>
      </c>
      <c r="F762" s="34">
        <v>1.0</v>
      </c>
      <c r="G762" s="34">
        <v>2.0</v>
      </c>
      <c r="H762" s="34" t="s">
        <v>29</v>
      </c>
      <c r="K762" s="34" t="s">
        <v>1718</v>
      </c>
      <c r="M762" s="24"/>
      <c r="N762" s="24"/>
      <c r="O762" s="34" t="s">
        <v>126</v>
      </c>
      <c r="P762" s="34">
        <v>4.0</v>
      </c>
      <c r="Q762" s="34">
        <v>2666.0</v>
      </c>
      <c r="R762" s="34" t="s">
        <v>34</v>
      </c>
      <c r="S762" s="34" t="s">
        <v>1217</v>
      </c>
    </row>
    <row r="763" ht="15.75" customHeight="1">
      <c r="A763" s="33">
        <v>45826.9537040625</v>
      </c>
      <c r="B763" s="34" t="s">
        <v>36</v>
      </c>
      <c r="C763" s="34" t="s">
        <v>1463</v>
      </c>
      <c r="D763" s="34" t="s">
        <v>71</v>
      </c>
      <c r="E763" s="34" t="s">
        <v>345</v>
      </c>
      <c r="F763" s="34">
        <v>1.0</v>
      </c>
      <c r="G763" s="34">
        <v>20.0</v>
      </c>
      <c r="H763" s="34" t="s">
        <v>29</v>
      </c>
      <c r="I763" s="34" t="s">
        <v>40</v>
      </c>
      <c r="J763" s="34" t="s">
        <v>1719</v>
      </c>
      <c r="K763" s="34" t="s">
        <v>1720</v>
      </c>
      <c r="L763" s="34" t="s">
        <v>103</v>
      </c>
      <c r="M763" s="35" t="s">
        <v>122</v>
      </c>
      <c r="N763" s="37" t="s">
        <v>1721</v>
      </c>
      <c r="O763" s="34" t="s">
        <v>40</v>
      </c>
      <c r="P763" s="34">
        <v>16.0</v>
      </c>
      <c r="Q763" s="34">
        <v>2666.0</v>
      </c>
      <c r="R763" s="34" t="s">
        <v>34</v>
      </c>
      <c r="S763" s="34" t="s">
        <v>1225</v>
      </c>
    </row>
    <row r="764" ht="15.75" customHeight="1">
      <c r="A764" s="33">
        <v>45827.80844872685</v>
      </c>
      <c r="B764" s="34" t="s">
        <v>1722</v>
      </c>
      <c r="C764" s="34" t="s">
        <v>1034</v>
      </c>
      <c r="D764" s="34" t="s">
        <v>27</v>
      </c>
      <c r="E764" s="34" t="s">
        <v>1723</v>
      </c>
      <c r="F764" s="34">
        <v>1.0</v>
      </c>
      <c r="G764" s="34">
        <v>10.0</v>
      </c>
      <c r="H764" s="34" t="s">
        <v>29</v>
      </c>
      <c r="I764" s="34" t="s">
        <v>40</v>
      </c>
      <c r="J764" s="34" t="s">
        <v>1724</v>
      </c>
      <c r="K764" s="34" t="s">
        <v>1288</v>
      </c>
      <c r="M764" s="24"/>
      <c r="N764" s="24"/>
      <c r="O764" s="34" t="s">
        <v>40</v>
      </c>
      <c r="P764" s="34">
        <v>8.0</v>
      </c>
      <c r="Q764" s="34">
        <v>2133.0</v>
      </c>
      <c r="R764" s="34" t="s">
        <v>34</v>
      </c>
      <c r="S764" s="34" t="s">
        <v>1217</v>
      </c>
    </row>
    <row r="765" ht="15.75" customHeight="1">
      <c r="A765" s="33">
        <v>45828.64520684028</v>
      </c>
      <c r="B765" s="34" t="s">
        <v>169</v>
      </c>
      <c r="C765" s="34" t="s">
        <v>1463</v>
      </c>
      <c r="D765" s="34" t="s">
        <v>38</v>
      </c>
      <c r="E765" s="34" t="s">
        <v>1725</v>
      </c>
      <c r="F765" s="34">
        <v>2.0</v>
      </c>
      <c r="G765" s="34">
        <v>32.0</v>
      </c>
      <c r="H765" s="34" t="s">
        <v>29</v>
      </c>
      <c r="I765" s="34" t="s">
        <v>40</v>
      </c>
      <c r="K765" s="34" t="s">
        <v>1726</v>
      </c>
      <c r="L765" s="34" t="s">
        <v>93</v>
      </c>
      <c r="M765" s="35" t="s">
        <v>225</v>
      </c>
      <c r="N765" s="37" t="s">
        <v>1727</v>
      </c>
      <c r="O765" s="34" t="s">
        <v>40</v>
      </c>
      <c r="P765" s="34">
        <v>16.0</v>
      </c>
      <c r="Q765" s="34">
        <v>3200.0</v>
      </c>
      <c r="R765" s="34" t="s">
        <v>34</v>
      </c>
      <c r="S765" s="34" t="s">
        <v>1225</v>
      </c>
    </row>
    <row r="766" ht="15.75" customHeight="1">
      <c r="A766" s="33">
        <v>45830.33372400463</v>
      </c>
      <c r="B766" s="34" t="s">
        <v>1722</v>
      </c>
      <c r="C766" s="34" t="s">
        <v>1463</v>
      </c>
      <c r="D766" s="34" t="s">
        <v>27</v>
      </c>
      <c r="E766" s="34" t="s">
        <v>1014</v>
      </c>
      <c r="F766" s="34">
        <v>1.0</v>
      </c>
      <c r="G766" s="34">
        <v>18.0</v>
      </c>
      <c r="H766" s="34" t="s">
        <v>29</v>
      </c>
      <c r="I766" s="34" t="s">
        <v>40</v>
      </c>
      <c r="K766" s="34" t="s">
        <v>1288</v>
      </c>
      <c r="M766" s="24"/>
      <c r="N766" s="24"/>
      <c r="O766" s="34" t="s">
        <v>40</v>
      </c>
      <c r="P766" s="34">
        <v>16.0</v>
      </c>
      <c r="Q766" s="34">
        <v>3200.0</v>
      </c>
      <c r="R766" s="34" t="s">
        <v>34</v>
      </c>
      <c r="S766" s="34" t="s">
        <v>1225</v>
      </c>
    </row>
    <row r="767" ht="15.75" customHeight="1">
      <c r="A767" s="33">
        <v>45831.77465289352</v>
      </c>
      <c r="B767" s="34" t="s">
        <v>465</v>
      </c>
      <c r="C767" s="34" t="s">
        <v>1463</v>
      </c>
      <c r="D767" s="34" t="s">
        <v>1728</v>
      </c>
      <c r="E767" s="34" t="s">
        <v>1729</v>
      </c>
      <c r="F767" s="34">
        <v>1.0</v>
      </c>
      <c r="G767" s="34">
        <v>10.0</v>
      </c>
      <c r="H767" s="34" t="s">
        <v>29</v>
      </c>
      <c r="I767" s="34" t="s">
        <v>40</v>
      </c>
      <c r="K767" s="34" t="s">
        <v>1730</v>
      </c>
      <c r="L767" s="34" t="s">
        <v>31</v>
      </c>
      <c r="M767" s="37" t="s">
        <v>210</v>
      </c>
      <c r="N767" s="24"/>
      <c r="O767" s="34" t="s">
        <v>40</v>
      </c>
      <c r="P767" s="34">
        <v>8.0</v>
      </c>
      <c r="Q767" s="34">
        <v>2666.0</v>
      </c>
      <c r="R767" s="34" t="s">
        <v>34</v>
      </c>
      <c r="S767" s="34" t="s">
        <v>1225</v>
      </c>
    </row>
    <row r="768" ht="15.75" customHeight="1">
      <c r="A768" s="33">
        <v>45832.63267770833</v>
      </c>
      <c r="B768" s="34" t="s">
        <v>465</v>
      </c>
      <c r="C768" s="34" t="s">
        <v>1463</v>
      </c>
      <c r="D768" s="34" t="s">
        <v>119</v>
      </c>
      <c r="E768" s="34" t="s">
        <v>120</v>
      </c>
      <c r="F768" s="34">
        <v>1.0</v>
      </c>
      <c r="G768" s="34">
        <v>10.0</v>
      </c>
      <c r="H768" s="34" t="s">
        <v>29</v>
      </c>
      <c r="I768" s="34" t="s">
        <v>40</v>
      </c>
      <c r="K768" s="34" t="s">
        <v>1731</v>
      </c>
      <c r="L768" s="34" t="s">
        <v>111</v>
      </c>
      <c r="M768" s="37" t="s">
        <v>210</v>
      </c>
      <c r="N768" s="37" t="s">
        <v>1732</v>
      </c>
      <c r="O768" s="34" t="s">
        <v>40</v>
      </c>
      <c r="P768" s="34">
        <v>8.0</v>
      </c>
      <c r="Q768" s="34">
        <v>2666.0</v>
      </c>
      <c r="R768" s="34" t="s">
        <v>34</v>
      </c>
      <c r="S768" s="34" t="s">
        <v>1217</v>
      </c>
    </row>
    <row r="769" ht="15.75" customHeight="1">
      <c r="A769" s="33">
        <v>45833.72368195602</v>
      </c>
      <c r="B769" s="34" t="s">
        <v>288</v>
      </c>
      <c r="C769" s="34" t="s">
        <v>1463</v>
      </c>
      <c r="D769" s="34" t="s">
        <v>38</v>
      </c>
      <c r="E769" s="34" t="s">
        <v>786</v>
      </c>
      <c r="F769" s="34">
        <v>1.0</v>
      </c>
      <c r="G769" s="34">
        <v>18.0</v>
      </c>
      <c r="H769" s="34" t="s">
        <v>29</v>
      </c>
      <c r="I769" s="34" t="s">
        <v>40</v>
      </c>
      <c r="K769" s="34" t="s">
        <v>1733</v>
      </c>
      <c r="L769" s="34" t="s">
        <v>111</v>
      </c>
      <c r="M769" s="37" t="s">
        <v>210</v>
      </c>
      <c r="N769" s="24"/>
      <c r="O769" s="34" t="s">
        <v>40</v>
      </c>
      <c r="P769" s="34">
        <v>16.0</v>
      </c>
      <c r="Q769" s="34">
        <v>2666.0</v>
      </c>
      <c r="R769" s="34" t="s">
        <v>34</v>
      </c>
    </row>
    <row r="770" ht="15.75" customHeight="1">
      <c r="A770" s="33">
        <v>45833.81531534722</v>
      </c>
      <c r="B770" s="34" t="s">
        <v>169</v>
      </c>
      <c r="C770" s="34" t="s">
        <v>1463</v>
      </c>
      <c r="D770" s="34" t="s">
        <v>38</v>
      </c>
      <c r="E770" s="34" t="s">
        <v>39</v>
      </c>
      <c r="F770" s="34">
        <v>2.0</v>
      </c>
      <c r="G770" s="34">
        <v>32.0</v>
      </c>
      <c r="H770" s="34" t="s">
        <v>29</v>
      </c>
      <c r="I770" s="34" t="s">
        <v>40</v>
      </c>
      <c r="J770" s="34" t="s">
        <v>1734</v>
      </c>
      <c r="K770" s="34" t="s">
        <v>1735</v>
      </c>
      <c r="L770" s="34" t="s">
        <v>366</v>
      </c>
      <c r="M770" s="37" t="s">
        <v>1736</v>
      </c>
      <c r="N770" s="37" t="s">
        <v>1737</v>
      </c>
      <c r="O770" s="34" t="s">
        <v>40</v>
      </c>
      <c r="P770" s="34">
        <v>16.0</v>
      </c>
      <c r="Q770" s="34">
        <v>2666.0</v>
      </c>
      <c r="R770" s="34" t="s">
        <v>34</v>
      </c>
      <c r="S770" s="34" t="s">
        <v>1225</v>
      </c>
    </row>
    <row r="771" ht="15.75" customHeight="1">
      <c r="A771" s="33">
        <v>45834.79520032408</v>
      </c>
      <c r="B771" s="34" t="s">
        <v>36</v>
      </c>
      <c r="C771" s="34" t="s">
        <v>1463</v>
      </c>
      <c r="D771" s="34" t="s">
        <v>119</v>
      </c>
      <c r="E771" s="34" t="s">
        <v>120</v>
      </c>
      <c r="F771" s="34">
        <v>1.0</v>
      </c>
      <c r="G771" s="34">
        <v>20.0</v>
      </c>
      <c r="H771" s="34" t="s">
        <v>40</v>
      </c>
      <c r="J771" s="34" t="s">
        <v>1738</v>
      </c>
      <c r="K771" s="34" t="s">
        <v>1302</v>
      </c>
      <c r="L771" s="34" t="s">
        <v>103</v>
      </c>
      <c r="M771" s="35" t="s">
        <v>122</v>
      </c>
      <c r="N771" s="37" t="s">
        <v>1739</v>
      </c>
      <c r="O771" s="34" t="s">
        <v>40</v>
      </c>
      <c r="P771" s="34">
        <v>16.0</v>
      </c>
      <c r="Q771" s="34">
        <v>2666.0</v>
      </c>
      <c r="R771" s="34" t="s">
        <v>34</v>
      </c>
      <c r="S771" s="34" t="s">
        <v>1225</v>
      </c>
    </row>
    <row r="772" ht="15.75" customHeight="1">
      <c r="A772" s="33">
        <v>45836.66580059028</v>
      </c>
      <c r="B772" s="34" t="s">
        <v>294</v>
      </c>
      <c r="C772" s="34" t="s">
        <v>1463</v>
      </c>
      <c r="D772" s="34" t="s">
        <v>38</v>
      </c>
      <c r="E772" s="34" t="s">
        <v>39</v>
      </c>
      <c r="F772" s="34">
        <v>1.0</v>
      </c>
      <c r="G772" s="34">
        <v>20.0</v>
      </c>
      <c r="H772" s="34" t="s">
        <v>29</v>
      </c>
      <c r="I772" s="34" t="s">
        <v>40</v>
      </c>
      <c r="K772" s="34" t="s">
        <v>1740</v>
      </c>
      <c r="L772" s="34" t="s">
        <v>111</v>
      </c>
      <c r="M772" s="35" t="s">
        <v>50</v>
      </c>
      <c r="N772" s="37" t="s">
        <v>1741</v>
      </c>
      <c r="O772" s="34" t="s">
        <v>40</v>
      </c>
      <c r="P772" s="34">
        <v>16.0</v>
      </c>
      <c r="Q772" s="34">
        <v>2666.0</v>
      </c>
      <c r="R772" s="34" t="s">
        <v>34</v>
      </c>
      <c r="S772" s="34" t="s">
        <v>1220</v>
      </c>
    </row>
    <row r="773" ht="15.75" customHeight="1">
      <c r="A773" s="33">
        <v>45838.85861134259</v>
      </c>
      <c r="B773" s="34" t="s">
        <v>1742</v>
      </c>
      <c r="C773" s="34" t="s">
        <v>1463</v>
      </c>
      <c r="D773" s="34" t="s">
        <v>119</v>
      </c>
      <c r="E773" s="34" t="s">
        <v>120</v>
      </c>
      <c r="F773" s="34">
        <v>1.0</v>
      </c>
      <c r="G773" s="34">
        <v>10.0</v>
      </c>
      <c r="H773" s="34" t="s">
        <v>29</v>
      </c>
      <c r="I773" s="34" t="s">
        <v>40</v>
      </c>
      <c r="K773" s="34" t="s">
        <v>1302</v>
      </c>
      <c r="L773" s="34" t="s">
        <v>443</v>
      </c>
      <c r="M773" s="35" t="s">
        <v>1743</v>
      </c>
      <c r="N773" s="24"/>
      <c r="O773" s="34" t="s">
        <v>126</v>
      </c>
      <c r="P773" s="34">
        <v>8.0</v>
      </c>
      <c r="Q773" s="34">
        <v>2666.0</v>
      </c>
      <c r="R773" s="34" t="s">
        <v>34</v>
      </c>
      <c r="S773" s="34" t="s">
        <v>1217</v>
      </c>
    </row>
    <row r="774" ht="15.75" customHeight="1">
      <c r="A774" s="33">
        <v>45840.795796736114</v>
      </c>
      <c r="B774" s="34" t="s">
        <v>61</v>
      </c>
      <c r="C774" s="34" t="s">
        <v>1463</v>
      </c>
      <c r="D774" s="34" t="s">
        <v>71</v>
      </c>
      <c r="E774" s="34" t="s">
        <v>1744</v>
      </c>
      <c r="F774" s="34">
        <v>2.0</v>
      </c>
      <c r="G774" s="34">
        <v>16.0</v>
      </c>
      <c r="H774" s="34" t="s">
        <v>29</v>
      </c>
      <c r="I774" s="34" t="s">
        <v>40</v>
      </c>
      <c r="K774" s="34" t="s">
        <v>1745</v>
      </c>
      <c r="L774" s="34" t="s">
        <v>93</v>
      </c>
      <c r="M774" s="35" t="s">
        <v>168</v>
      </c>
      <c r="N774" s="24"/>
      <c r="O774" s="34" t="s">
        <v>40</v>
      </c>
      <c r="P774" s="34">
        <v>8.0</v>
      </c>
      <c r="Q774" s="34">
        <v>1600.0</v>
      </c>
      <c r="R774" s="34" t="s">
        <v>1219</v>
      </c>
      <c r="S774" s="34" t="s">
        <v>1225</v>
      </c>
    </row>
    <row r="775" ht="15.75" customHeight="1">
      <c r="A775" s="33">
        <v>45841.60677241898</v>
      </c>
      <c r="B775" s="34" t="s">
        <v>36</v>
      </c>
      <c r="C775" s="34" t="s">
        <v>1463</v>
      </c>
      <c r="D775" s="34" t="s">
        <v>38</v>
      </c>
      <c r="E775" s="34" t="s">
        <v>59</v>
      </c>
      <c r="F775" s="34">
        <v>1.0</v>
      </c>
      <c r="G775" s="34">
        <v>20.0</v>
      </c>
      <c r="H775" s="34" t="s">
        <v>29</v>
      </c>
      <c r="I775" s="34" t="s">
        <v>40</v>
      </c>
      <c r="K775" s="34" t="s">
        <v>1302</v>
      </c>
      <c r="L775" s="34" t="s">
        <v>103</v>
      </c>
      <c r="M775" s="35" t="s">
        <v>122</v>
      </c>
      <c r="N775" s="37" t="s">
        <v>1746</v>
      </c>
      <c r="O775" s="34" t="s">
        <v>40</v>
      </c>
      <c r="P775" s="34">
        <v>16.0</v>
      </c>
      <c r="Q775" s="34">
        <v>2666.0</v>
      </c>
      <c r="R775" s="34" t="s">
        <v>34</v>
      </c>
      <c r="S775" s="34" t="s">
        <v>1225</v>
      </c>
    </row>
    <row r="776" ht="15.75" customHeight="1">
      <c r="A776" s="33">
        <v>45842.979361377314</v>
      </c>
      <c r="B776" s="34" t="s">
        <v>465</v>
      </c>
      <c r="C776" s="34" t="s">
        <v>1463</v>
      </c>
      <c r="D776" s="34" t="s">
        <v>71</v>
      </c>
      <c r="E776" s="34" t="s">
        <v>1747</v>
      </c>
      <c r="F776" s="34">
        <v>1.0</v>
      </c>
      <c r="G776" s="34">
        <v>18.0</v>
      </c>
      <c r="H776" s="34" t="s">
        <v>29</v>
      </c>
      <c r="I776" s="34" t="s">
        <v>40</v>
      </c>
      <c r="K776" s="34" t="s">
        <v>40</v>
      </c>
      <c r="L776" s="34" t="s">
        <v>136</v>
      </c>
      <c r="M776" s="37" t="s">
        <v>210</v>
      </c>
      <c r="N776" s="24"/>
      <c r="O776" s="34" t="s">
        <v>29</v>
      </c>
      <c r="P776" s="34">
        <v>16.0</v>
      </c>
      <c r="Q776" s="34">
        <v>2400.0</v>
      </c>
      <c r="R776" s="34" t="s">
        <v>34</v>
      </c>
      <c r="S776" s="34" t="s">
        <v>1225</v>
      </c>
    </row>
    <row r="777" ht="15.75" customHeight="1">
      <c r="A777" s="33">
        <v>45843.67285077546</v>
      </c>
      <c r="B777" s="34" t="s">
        <v>410</v>
      </c>
      <c r="C777" s="34" t="s">
        <v>1463</v>
      </c>
      <c r="D777" s="34" t="s">
        <v>27</v>
      </c>
      <c r="E777" s="34" t="s">
        <v>199</v>
      </c>
      <c r="F777" s="34">
        <v>1.0</v>
      </c>
      <c r="G777" s="34">
        <v>40.0</v>
      </c>
      <c r="H777" s="34" t="s">
        <v>29</v>
      </c>
      <c r="I777" s="34" t="s">
        <v>40</v>
      </c>
      <c r="J777" s="34" t="s">
        <v>1748</v>
      </c>
      <c r="K777" s="34" t="s">
        <v>1749</v>
      </c>
      <c r="L777" s="34" t="s">
        <v>436</v>
      </c>
      <c r="M777" s="37" t="s">
        <v>1750</v>
      </c>
      <c r="N777" s="37" t="s">
        <v>1751</v>
      </c>
      <c r="O777" s="34" t="s">
        <v>29</v>
      </c>
      <c r="P777" s="34">
        <v>32.0</v>
      </c>
      <c r="Q777" s="34">
        <v>3200.0</v>
      </c>
      <c r="R777" s="34" t="s">
        <v>34</v>
      </c>
      <c r="S777" s="34" t="s">
        <v>1225</v>
      </c>
    </row>
    <row r="778" ht="15.75" customHeight="1">
      <c r="A778" s="33">
        <v>45843.78746393519</v>
      </c>
      <c r="B778" s="34" t="s">
        <v>288</v>
      </c>
      <c r="C778" s="34" t="s">
        <v>1463</v>
      </c>
      <c r="D778" s="34" t="s">
        <v>27</v>
      </c>
      <c r="E778" s="34" t="s">
        <v>212</v>
      </c>
      <c r="F778" s="34">
        <v>1.0</v>
      </c>
      <c r="G778" s="34">
        <v>18.0</v>
      </c>
      <c r="H778" s="34" t="s">
        <v>29</v>
      </c>
      <c r="I778" s="34" t="s">
        <v>40</v>
      </c>
      <c r="K778" s="34" t="s">
        <v>1752</v>
      </c>
      <c r="L778" s="34" t="s">
        <v>111</v>
      </c>
      <c r="M778" s="35" t="s">
        <v>106</v>
      </c>
      <c r="N778" s="24"/>
      <c r="O778" s="34" t="s">
        <v>40</v>
      </c>
      <c r="P778" s="34">
        <v>16.0</v>
      </c>
      <c r="Q778" s="34">
        <v>2666.0</v>
      </c>
      <c r="R778" s="34" t="s">
        <v>34</v>
      </c>
      <c r="S778" s="34" t="s">
        <v>1217</v>
      </c>
    </row>
    <row r="779" ht="15.75" customHeight="1">
      <c r="A779" s="33">
        <v>45848.20240659722</v>
      </c>
      <c r="B779" s="34" t="s">
        <v>465</v>
      </c>
      <c r="C779" s="34" t="s">
        <v>1463</v>
      </c>
      <c r="D779" s="34" t="s">
        <v>716</v>
      </c>
      <c r="E779" s="34" t="s">
        <v>345</v>
      </c>
      <c r="F779" s="34">
        <v>1.0</v>
      </c>
      <c r="G779" s="34">
        <v>18.0</v>
      </c>
      <c r="H779" s="34" t="s">
        <v>29</v>
      </c>
      <c r="I779" s="34" t="s">
        <v>40</v>
      </c>
      <c r="J779" s="34" t="s">
        <v>40</v>
      </c>
      <c r="K779" s="34" t="s">
        <v>1753</v>
      </c>
      <c r="L779" s="34" t="s">
        <v>111</v>
      </c>
      <c r="M779" s="35" t="s">
        <v>50</v>
      </c>
      <c r="N779" s="24"/>
      <c r="O779" s="34" t="s">
        <v>126</v>
      </c>
      <c r="P779" s="34">
        <v>16.0</v>
      </c>
      <c r="Q779" s="34">
        <v>2666.0</v>
      </c>
      <c r="R779" s="34" t="s">
        <v>34</v>
      </c>
      <c r="S779" s="34" t="s">
        <v>1225</v>
      </c>
    </row>
    <row r="780" ht="15.75" customHeight="1">
      <c r="A780" s="33">
        <v>45848.39648565972</v>
      </c>
      <c r="B780" s="34" t="s">
        <v>1722</v>
      </c>
      <c r="C780" s="34" t="s">
        <v>1754</v>
      </c>
      <c r="D780" s="34" t="s">
        <v>716</v>
      </c>
      <c r="E780" s="34" t="s">
        <v>345</v>
      </c>
      <c r="F780" s="34">
        <v>1.0</v>
      </c>
      <c r="G780" s="34">
        <v>18.0</v>
      </c>
      <c r="H780" s="34" t="s">
        <v>29</v>
      </c>
      <c r="I780" s="34" t="s">
        <v>40</v>
      </c>
      <c r="K780" s="34" t="s">
        <v>1755</v>
      </c>
      <c r="L780" s="34" t="s">
        <v>31</v>
      </c>
      <c r="M780" s="35" t="s">
        <v>487</v>
      </c>
      <c r="N780" s="24"/>
      <c r="O780" s="34" t="s">
        <v>40</v>
      </c>
      <c r="P780" s="34">
        <v>16.0</v>
      </c>
      <c r="Q780" s="34">
        <v>2666.0</v>
      </c>
      <c r="R780" s="34" t="s">
        <v>34</v>
      </c>
      <c r="S780" s="34" t="s">
        <v>1225</v>
      </c>
    </row>
    <row r="781" ht="15.75" customHeight="1">
      <c r="A781" s="33">
        <v>45848.80873318287</v>
      </c>
      <c r="B781" s="34" t="s">
        <v>2</v>
      </c>
      <c r="C781" s="34" t="s">
        <v>1563</v>
      </c>
      <c r="D781" s="34" t="s">
        <v>101</v>
      </c>
      <c r="E781" s="34" t="s">
        <v>1756</v>
      </c>
      <c r="F781" s="34">
        <v>1.0</v>
      </c>
      <c r="G781" s="34">
        <v>12.0</v>
      </c>
      <c r="H781" s="34" t="s">
        <v>40</v>
      </c>
      <c r="I781" s="34" t="s">
        <v>40</v>
      </c>
      <c r="J781" s="34" t="s">
        <v>1757</v>
      </c>
      <c r="K781" s="34" t="s">
        <v>1758</v>
      </c>
      <c r="L781" s="34" t="s">
        <v>1759</v>
      </c>
      <c r="M781" s="37" t="s">
        <v>1760</v>
      </c>
      <c r="N781" s="24"/>
      <c r="O781" s="34" t="s">
        <v>40</v>
      </c>
      <c r="P781" s="34">
        <v>8.0</v>
      </c>
      <c r="Q781" s="34">
        <v>3200.0</v>
      </c>
      <c r="R781" s="34" t="s">
        <v>34</v>
      </c>
      <c r="S781" s="34" t="s">
        <v>1217</v>
      </c>
    </row>
    <row r="782" ht="15.75" customHeight="1">
      <c r="A782" s="33">
        <v>45849.66518920139</v>
      </c>
      <c r="B782" s="34" t="s">
        <v>465</v>
      </c>
      <c r="C782" s="34" t="s">
        <v>1463</v>
      </c>
      <c r="D782" s="34" t="s">
        <v>38</v>
      </c>
      <c r="E782" s="39" t="s">
        <v>1761</v>
      </c>
      <c r="F782" s="34">
        <v>1.0</v>
      </c>
      <c r="G782" s="34">
        <v>10.0</v>
      </c>
      <c r="H782" s="34" t="s">
        <v>29</v>
      </c>
      <c r="I782" s="34" t="s">
        <v>40</v>
      </c>
      <c r="K782" s="34" t="s">
        <v>1762</v>
      </c>
      <c r="M782" s="37" t="s">
        <v>210</v>
      </c>
      <c r="N782" s="24"/>
      <c r="O782" s="34" t="s">
        <v>126</v>
      </c>
      <c r="P782" s="34">
        <v>8.0</v>
      </c>
      <c r="Q782" s="34">
        <v>3200.0</v>
      </c>
      <c r="R782" s="34" t="s">
        <v>34</v>
      </c>
      <c r="S782" s="34" t="s">
        <v>1220</v>
      </c>
    </row>
    <row r="783" ht="15.75" customHeight="1">
      <c r="A783" s="33">
        <v>45850.315249618056</v>
      </c>
      <c r="B783" s="34" t="s">
        <v>1642</v>
      </c>
      <c r="C783" s="34" t="s">
        <v>1463</v>
      </c>
      <c r="D783" s="34" t="s">
        <v>38</v>
      </c>
      <c r="E783" s="34" t="s">
        <v>1763</v>
      </c>
      <c r="F783" s="34">
        <v>2.0</v>
      </c>
      <c r="G783" s="34">
        <v>32.0</v>
      </c>
      <c r="H783" s="34" t="s">
        <v>29</v>
      </c>
      <c r="I783" s="34" t="s">
        <v>40</v>
      </c>
      <c r="K783" s="34" t="s">
        <v>1764</v>
      </c>
      <c r="L783" s="34" t="s">
        <v>186</v>
      </c>
      <c r="M783" s="35" t="s">
        <v>1765</v>
      </c>
      <c r="N783" s="37" t="s">
        <v>1766</v>
      </c>
      <c r="O783" s="34" t="s">
        <v>29</v>
      </c>
      <c r="P783" s="34">
        <v>16.0</v>
      </c>
      <c r="Q783" s="34">
        <v>2666.0</v>
      </c>
      <c r="R783" s="34" t="s">
        <v>34</v>
      </c>
      <c r="S783" s="34" t="s">
        <v>1225</v>
      </c>
    </row>
    <row r="784" ht="15.75" customHeight="1">
      <c r="A784" s="33">
        <v>45852.73019986111</v>
      </c>
      <c r="B784" s="34" t="s">
        <v>66</v>
      </c>
      <c r="C784" s="34" t="s">
        <v>1767</v>
      </c>
      <c r="D784" s="34" t="s">
        <v>565</v>
      </c>
      <c r="E784" s="34" t="s">
        <v>1768</v>
      </c>
      <c r="F784" s="34">
        <v>1.0</v>
      </c>
      <c r="G784" s="34">
        <v>18.0</v>
      </c>
      <c r="H784" s="34" t="s">
        <v>40</v>
      </c>
      <c r="I784" s="34" t="s">
        <v>40</v>
      </c>
      <c r="J784" s="34" t="s">
        <v>1769</v>
      </c>
      <c r="K784" s="34" t="s">
        <v>1770</v>
      </c>
      <c r="L784" s="34" t="s">
        <v>111</v>
      </c>
      <c r="M784" s="37" t="s">
        <v>1771</v>
      </c>
      <c r="N784" s="24"/>
      <c r="O784" s="34" t="s">
        <v>40</v>
      </c>
      <c r="P784" s="34">
        <v>16.0</v>
      </c>
      <c r="Q784" s="34">
        <v>2666.0</v>
      </c>
      <c r="R784" s="34" t="s">
        <v>34</v>
      </c>
      <c r="S784" s="34" t="s">
        <v>1220</v>
      </c>
    </row>
    <row r="785" ht="15.75" customHeight="1">
      <c r="A785" s="33">
        <v>45852.85021261574</v>
      </c>
      <c r="B785" s="34" t="s">
        <v>465</v>
      </c>
      <c r="C785" s="34" t="s">
        <v>1463</v>
      </c>
      <c r="D785" s="34" t="s">
        <v>71</v>
      </c>
      <c r="E785" s="34" t="s">
        <v>1182</v>
      </c>
      <c r="F785" s="34">
        <v>1.0</v>
      </c>
      <c r="G785" s="34">
        <v>18.0</v>
      </c>
      <c r="H785" s="34" t="s">
        <v>29</v>
      </c>
      <c r="I785" s="34" t="s">
        <v>40</v>
      </c>
      <c r="J785" s="34" t="s">
        <v>1772</v>
      </c>
      <c r="K785" s="34" t="s">
        <v>516</v>
      </c>
      <c r="L785" s="34" t="s">
        <v>136</v>
      </c>
      <c r="M785" s="35" t="s">
        <v>137</v>
      </c>
      <c r="N785" s="37" t="s">
        <v>1773</v>
      </c>
      <c r="O785" s="34" t="s">
        <v>126</v>
      </c>
      <c r="P785" s="34">
        <v>16.0</v>
      </c>
      <c r="Q785" s="34">
        <v>3200.0</v>
      </c>
      <c r="R785" s="34" t="s">
        <v>34</v>
      </c>
      <c r="S785" s="34" t="s">
        <v>1225</v>
      </c>
    </row>
    <row r="786" ht="15.75" customHeight="1">
      <c r="A786" s="33">
        <v>45853.62326709491</v>
      </c>
      <c r="B786" s="34" t="s">
        <v>1642</v>
      </c>
      <c r="C786" s="34" t="s">
        <v>1463</v>
      </c>
      <c r="D786" s="34" t="s">
        <v>27</v>
      </c>
      <c r="E786" s="34" t="s">
        <v>1774</v>
      </c>
      <c r="F786" s="34">
        <v>2.0</v>
      </c>
      <c r="G786" s="34">
        <v>32.0</v>
      </c>
      <c r="H786" s="34" t="s">
        <v>29</v>
      </c>
      <c r="I786" s="34" t="s">
        <v>40</v>
      </c>
      <c r="K786" s="34" t="s">
        <v>1775</v>
      </c>
      <c r="M786" s="24"/>
      <c r="N786" s="24"/>
      <c r="O786" s="34" t="s">
        <v>29</v>
      </c>
      <c r="P786" s="34">
        <v>16.0</v>
      </c>
      <c r="Q786" s="34">
        <v>3200.0</v>
      </c>
      <c r="R786" s="34" t="s">
        <v>34</v>
      </c>
      <c r="S786" s="34" t="s">
        <v>1225</v>
      </c>
    </row>
    <row r="787" ht="15.75" customHeight="1">
      <c r="A787" s="33">
        <v>45853.937054131944</v>
      </c>
      <c r="B787" s="34" t="s">
        <v>118</v>
      </c>
      <c r="C787" s="34" t="s">
        <v>1463</v>
      </c>
      <c r="D787" s="34" t="s">
        <v>71</v>
      </c>
      <c r="E787" s="34" t="s">
        <v>1776</v>
      </c>
      <c r="F787" s="34">
        <v>1.0</v>
      </c>
      <c r="G787" s="34">
        <v>18.0</v>
      </c>
      <c r="H787" s="34" t="s">
        <v>40</v>
      </c>
      <c r="J787" s="34" t="s">
        <v>1777</v>
      </c>
      <c r="K787" s="34" t="s">
        <v>1778</v>
      </c>
      <c r="L787" s="34" t="s">
        <v>136</v>
      </c>
      <c r="M787" s="35" t="s">
        <v>217</v>
      </c>
      <c r="N787" s="24"/>
      <c r="O787" s="34" t="s">
        <v>126</v>
      </c>
      <c r="P787" s="34">
        <v>16.0</v>
      </c>
      <c r="Q787" s="34">
        <v>2666.0</v>
      </c>
      <c r="R787" s="34" t="s">
        <v>34</v>
      </c>
      <c r="S787" s="34" t="s">
        <v>1225</v>
      </c>
    </row>
    <row r="788" ht="15.75" customHeight="1">
      <c r="A788" s="33">
        <v>45855.332696516205</v>
      </c>
      <c r="B788" s="34" t="s">
        <v>2</v>
      </c>
      <c r="C788" s="34" t="s">
        <v>1463</v>
      </c>
      <c r="D788" s="34" t="s">
        <v>716</v>
      </c>
      <c r="E788" s="34" t="s">
        <v>1318</v>
      </c>
      <c r="F788" s="34">
        <v>2.0</v>
      </c>
      <c r="G788" s="34">
        <v>32.0</v>
      </c>
      <c r="H788" s="34" t="s">
        <v>29</v>
      </c>
      <c r="I788" s="34" t="s">
        <v>40</v>
      </c>
      <c r="J788" s="34" t="s">
        <v>1779</v>
      </c>
      <c r="K788" s="34" t="s">
        <v>1780</v>
      </c>
      <c r="L788" s="34" t="s">
        <v>186</v>
      </c>
      <c r="M788" s="35" t="s">
        <v>1781</v>
      </c>
      <c r="N788" s="37" t="s">
        <v>1613</v>
      </c>
      <c r="O788" s="34" t="s">
        <v>29</v>
      </c>
      <c r="P788" s="34">
        <v>16.0</v>
      </c>
      <c r="Q788" s="34">
        <v>2666.0</v>
      </c>
      <c r="R788" s="34" t="s">
        <v>34</v>
      </c>
      <c r="S788" s="34" t="s">
        <v>1225</v>
      </c>
    </row>
    <row r="789" ht="15.75" customHeight="1">
      <c r="A789" s="33">
        <v>45855.59769549769</v>
      </c>
      <c r="B789" s="34" t="s">
        <v>66</v>
      </c>
      <c r="C789" s="34" t="s">
        <v>1463</v>
      </c>
      <c r="D789" s="34" t="s">
        <v>27</v>
      </c>
      <c r="E789" s="34" t="s">
        <v>228</v>
      </c>
      <c r="F789" s="34">
        <v>1.0</v>
      </c>
      <c r="G789" s="34">
        <v>6.0</v>
      </c>
      <c r="H789" s="34" t="s">
        <v>29</v>
      </c>
      <c r="I789" s="34" t="s">
        <v>40</v>
      </c>
      <c r="K789" s="34" t="s">
        <v>1782</v>
      </c>
      <c r="L789" s="34" t="s">
        <v>1394</v>
      </c>
      <c r="M789" s="35" t="s">
        <v>1783</v>
      </c>
      <c r="N789" s="24"/>
      <c r="O789" s="34" t="s">
        <v>40</v>
      </c>
      <c r="P789" s="34">
        <v>4.0</v>
      </c>
      <c r="Q789" s="34">
        <v>2666.0</v>
      </c>
      <c r="R789" s="34" t="s">
        <v>34</v>
      </c>
      <c r="S789" s="34" t="s">
        <v>1217</v>
      </c>
    </row>
    <row r="790" ht="15.75" customHeight="1">
      <c r="A790" s="33">
        <v>45855.64219171296</v>
      </c>
      <c r="B790" s="34" t="s">
        <v>465</v>
      </c>
      <c r="C790" s="34" t="s">
        <v>1463</v>
      </c>
      <c r="D790" s="34" t="s">
        <v>119</v>
      </c>
      <c r="E790" s="34" t="s">
        <v>812</v>
      </c>
      <c r="F790" s="34">
        <v>1.0</v>
      </c>
      <c r="G790" s="34">
        <v>18.0</v>
      </c>
      <c r="H790" s="34" t="s">
        <v>29</v>
      </c>
      <c r="I790" s="34" t="s">
        <v>40</v>
      </c>
      <c r="K790" s="34" t="s">
        <v>1348</v>
      </c>
      <c r="M790" s="35" t="s">
        <v>1604</v>
      </c>
      <c r="N790" s="24"/>
      <c r="O790" s="34" t="s">
        <v>126</v>
      </c>
      <c r="P790" s="34">
        <v>16.0</v>
      </c>
      <c r="Q790" s="34">
        <v>2666.0</v>
      </c>
      <c r="R790" s="34" t="s">
        <v>34</v>
      </c>
      <c r="S790" s="34" t="s">
        <v>1217</v>
      </c>
    </row>
    <row r="791" ht="15.75" customHeight="1">
      <c r="A791" s="33">
        <v>45856.97390899305</v>
      </c>
      <c r="B791" s="34" t="s">
        <v>66</v>
      </c>
      <c r="C791" s="34" t="s">
        <v>1463</v>
      </c>
      <c r="D791" s="34" t="s">
        <v>180</v>
      </c>
      <c r="E791" s="34" t="s">
        <v>181</v>
      </c>
      <c r="F791" s="34">
        <v>1.0</v>
      </c>
      <c r="G791" s="34">
        <v>10.0</v>
      </c>
      <c r="H791" s="34" t="s">
        <v>29</v>
      </c>
      <c r="I791" s="34" t="s">
        <v>40</v>
      </c>
      <c r="K791" s="34" t="s">
        <v>1782</v>
      </c>
      <c r="L791" s="34" t="s">
        <v>1394</v>
      </c>
      <c r="M791" s="35" t="s">
        <v>1784</v>
      </c>
      <c r="N791" s="24"/>
      <c r="O791" s="34" t="s">
        <v>40</v>
      </c>
      <c r="P791" s="34">
        <v>8.0</v>
      </c>
      <c r="Q791" s="34">
        <v>2666.0</v>
      </c>
      <c r="R791" s="34" t="s">
        <v>34</v>
      </c>
      <c r="S791" s="34" t="s">
        <v>1220</v>
      </c>
    </row>
    <row r="792" ht="15.75" customHeight="1">
      <c r="A792" s="33">
        <v>45858.33591064815</v>
      </c>
      <c r="B792" s="34" t="s">
        <v>36</v>
      </c>
      <c r="C792" s="34" t="s">
        <v>1463</v>
      </c>
      <c r="D792" s="34" t="s">
        <v>1785</v>
      </c>
      <c r="E792" s="34" t="s">
        <v>1786</v>
      </c>
      <c r="F792" s="34">
        <v>1.0</v>
      </c>
      <c r="H792" s="34" t="s">
        <v>40</v>
      </c>
      <c r="K792" s="34" t="s">
        <v>1787</v>
      </c>
      <c r="M792" s="24"/>
      <c r="N792" s="24"/>
      <c r="O792" s="34" t="s">
        <v>40</v>
      </c>
      <c r="P792" s="34">
        <v>16.0</v>
      </c>
      <c r="Q792" s="34">
        <v>3200.0</v>
      </c>
      <c r="R792" s="34" t="s">
        <v>34</v>
      </c>
      <c r="S792" s="34" t="s">
        <v>1217</v>
      </c>
    </row>
    <row r="793" ht="15.75" customHeight="1">
      <c r="A793" s="33">
        <v>45858.34079511574</v>
      </c>
      <c r="B793" s="34" t="s">
        <v>36</v>
      </c>
      <c r="C793" s="34" t="s">
        <v>1463</v>
      </c>
      <c r="D793" s="34" t="s">
        <v>1788</v>
      </c>
      <c r="E793" s="34" t="s">
        <v>1789</v>
      </c>
      <c r="F793" s="34">
        <v>1.0</v>
      </c>
      <c r="G793" s="34">
        <v>20.0</v>
      </c>
      <c r="H793" s="34" t="s">
        <v>29</v>
      </c>
      <c r="I793" s="34" t="s">
        <v>40</v>
      </c>
      <c r="K793" s="34" t="s">
        <v>1787</v>
      </c>
      <c r="L793" s="34" t="s">
        <v>1790</v>
      </c>
      <c r="M793" s="24"/>
      <c r="N793" s="37" t="s">
        <v>1791</v>
      </c>
      <c r="O793" s="34" t="s">
        <v>40</v>
      </c>
      <c r="P793" s="34">
        <v>16.0</v>
      </c>
      <c r="Q793" s="34">
        <v>2666.0</v>
      </c>
      <c r="R793" s="34" t="s">
        <v>34</v>
      </c>
      <c r="S793" s="34" t="s">
        <v>1225</v>
      </c>
    </row>
    <row r="794" ht="15.75" customHeight="1">
      <c r="A794" s="33">
        <v>45858.820500671296</v>
      </c>
      <c r="B794" s="34" t="s">
        <v>1792</v>
      </c>
      <c r="C794" s="34" t="s">
        <v>1463</v>
      </c>
      <c r="D794" s="34" t="s">
        <v>38</v>
      </c>
      <c r="E794" s="34" t="s">
        <v>1793</v>
      </c>
      <c r="F794" s="34">
        <v>1.0</v>
      </c>
      <c r="G794" s="34">
        <v>18.0</v>
      </c>
      <c r="H794" s="34" t="s">
        <v>40</v>
      </c>
      <c r="I794" s="34" t="s">
        <v>40</v>
      </c>
      <c r="K794" s="34" t="s">
        <v>1288</v>
      </c>
      <c r="M794" s="24"/>
      <c r="N794" s="24"/>
      <c r="O794" s="34" t="s">
        <v>40</v>
      </c>
      <c r="P794" s="34">
        <v>16.0</v>
      </c>
      <c r="Q794" s="34">
        <v>3200.0</v>
      </c>
      <c r="R794" s="34" t="s">
        <v>34</v>
      </c>
    </row>
    <row r="795" ht="15.75" customHeight="1">
      <c r="A795" s="33">
        <v>45858.821605185185</v>
      </c>
      <c r="B795" s="34" t="s">
        <v>1794</v>
      </c>
      <c r="C795" s="34" t="s">
        <v>1463</v>
      </c>
      <c r="D795" s="34" t="s">
        <v>119</v>
      </c>
      <c r="E795" s="34" t="s">
        <v>1795</v>
      </c>
      <c r="F795" s="34">
        <v>1.0</v>
      </c>
      <c r="G795" s="34">
        <v>18.0</v>
      </c>
      <c r="H795" s="34" t="s">
        <v>40</v>
      </c>
      <c r="I795" s="34" t="s">
        <v>40</v>
      </c>
      <c r="K795" s="34" t="s">
        <v>1288</v>
      </c>
      <c r="M795" s="24"/>
      <c r="N795" s="24"/>
      <c r="O795" s="34" t="s">
        <v>40</v>
      </c>
      <c r="P795" s="34">
        <v>16.0</v>
      </c>
      <c r="Q795" s="34">
        <v>3200.0</v>
      </c>
      <c r="S795" s="34" t="s">
        <v>1217</v>
      </c>
    </row>
    <row r="796" ht="15.75" customHeight="1">
      <c r="A796" s="33">
        <v>45860.480308935184</v>
      </c>
      <c r="B796" s="34" t="s">
        <v>1796</v>
      </c>
      <c r="C796" s="34" t="s">
        <v>1463</v>
      </c>
      <c r="D796" s="34" t="s">
        <v>27</v>
      </c>
      <c r="E796" s="34" t="s">
        <v>157</v>
      </c>
      <c r="F796" s="34">
        <v>1.0</v>
      </c>
      <c r="G796" s="34">
        <v>18.0</v>
      </c>
      <c r="H796" s="34" t="s">
        <v>29</v>
      </c>
      <c r="I796" s="34" t="s">
        <v>40</v>
      </c>
      <c r="K796" s="34" t="s">
        <v>1797</v>
      </c>
      <c r="M796" s="24"/>
      <c r="N796" s="37" t="s">
        <v>1798</v>
      </c>
      <c r="O796" s="34" t="s">
        <v>40</v>
      </c>
      <c r="P796" s="34">
        <v>16.0</v>
      </c>
      <c r="Q796" s="34">
        <v>2666.0</v>
      </c>
      <c r="R796" s="34" t="s">
        <v>34</v>
      </c>
      <c r="S796" s="34" t="s">
        <v>1225</v>
      </c>
    </row>
    <row r="797" ht="15.75" customHeight="1">
      <c r="A797" s="33">
        <v>45861.768903055556</v>
      </c>
      <c r="B797" s="34" t="s">
        <v>2</v>
      </c>
      <c r="C797" s="34" t="s">
        <v>1463</v>
      </c>
      <c r="D797" s="34" t="s">
        <v>565</v>
      </c>
      <c r="E797" s="34" t="s">
        <v>1799</v>
      </c>
      <c r="F797" s="34">
        <v>1.0</v>
      </c>
      <c r="G797" s="34">
        <v>36.0</v>
      </c>
      <c r="H797" s="34" t="s">
        <v>29</v>
      </c>
      <c r="I797" s="34" t="s">
        <v>40</v>
      </c>
      <c r="J797" s="34" t="s">
        <v>1800</v>
      </c>
      <c r="K797" s="34" t="s">
        <v>1801</v>
      </c>
      <c r="L797" s="34" t="s">
        <v>111</v>
      </c>
      <c r="M797" s="35" t="s">
        <v>50</v>
      </c>
      <c r="N797" s="24"/>
      <c r="O797" s="34" t="s">
        <v>40</v>
      </c>
      <c r="P797" s="34">
        <v>32.0</v>
      </c>
      <c r="Q797" s="34">
        <v>3200.0</v>
      </c>
      <c r="R797" s="34" t="s">
        <v>34</v>
      </c>
      <c r="S797" s="34" t="s">
        <v>1217</v>
      </c>
    </row>
    <row r="798" ht="15.75" customHeight="1">
      <c r="A798" s="33">
        <v>45864.48218612268</v>
      </c>
      <c r="B798" s="34" t="s">
        <v>2</v>
      </c>
      <c r="C798" s="34" t="s">
        <v>1463</v>
      </c>
      <c r="D798" s="34" t="s">
        <v>27</v>
      </c>
      <c r="E798" s="34" t="s">
        <v>1802</v>
      </c>
      <c r="F798" s="34">
        <v>2.0</v>
      </c>
      <c r="G798" s="34">
        <v>32.0</v>
      </c>
      <c r="H798" s="34" t="s">
        <v>29</v>
      </c>
      <c r="I798" s="34" t="s">
        <v>40</v>
      </c>
      <c r="K798" s="34" t="s">
        <v>1803</v>
      </c>
      <c r="L798" s="34" t="s">
        <v>219</v>
      </c>
      <c r="M798" s="37" t="s">
        <v>1804</v>
      </c>
      <c r="N798" s="37" t="s">
        <v>1805</v>
      </c>
      <c r="O798" s="34" t="s">
        <v>40</v>
      </c>
      <c r="P798" s="34">
        <v>16.0</v>
      </c>
      <c r="Q798" s="34">
        <v>3200.0</v>
      </c>
      <c r="R798" s="34" t="s">
        <v>34</v>
      </c>
      <c r="S798" s="34" t="s">
        <v>1220</v>
      </c>
    </row>
    <row r="799" ht="15.75" customHeight="1">
      <c r="A799" s="33">
        <v>45865.9292546412</v>
      </c>
      <c r="B799" s="34" t="s">
        <v>465</v>
      </c>
      <c r="C799" s="34" t="s">
        <v>1324</v>
      </c>
      <c r="D799" s="34" t="s">
        <v>107</v>
      </c>
      <c r="E799" s="34" t="s">
        <v>1806</v>
      </c>
      <c r="F799" s="34">
        <v>1.0</v>
      </c>
      <c r="G799" s="34">
        <v>18.0</v>
      </c>
      <c r="H799" s="34" t="s">
        <v>29</v>
      </c>
      <c r="I799" s="34" t="s">
        <v>40</v>
      </c>
      <c r="J799" s="34" t="s">
        <v>1807</v>
      </c>
      <c r="K799" s="34" t="s">
        <v>1422</v>
      </c>
      <c r="L799" s="34" t="s">
        <v>31</v>
      </c>
      <c r="M799" s="37" t="s">
        <v>1808</v>
      </c>
      <c r="N799" s="37" t="s">
        <v>1809</v>
      </c>
      <c r="O799" s="34" t="s">
        <v>40</v>
      </c>
      <c r="P799" s="34">
        <v>16.0</v>
      </c>
      <c r="Q799" s="34">
        <v>2666.0</v>
      </c>
      <c r="R799" s="34" t="s">
        <v>34</v>
      </c>
      <c r="S799" s="34" t="s">
        <v>1217</v>
      </c>
    </row>
    <row r="800" ht="15.75" customHeight="1">
      <c r="A800" s="33">
        <v>45867.6452187963</v>
      </c>
      <c r="B800" s="34" t="s">
        <v>1810</v>
      </c>
      <c r="C800" s="34" t="s">
        <v>1034</v>
      </c>
      <c r="D800" s="34" t="s">
        <v>27</v>
      </c>
      <c r="E800" s="34" t="s">
        <v>1202</v>
      </c>
      <c r="F800" s="34">
        <v>2.0</v>
      </c>
      <c r="G800" s="34">
        <v>40.0</v>
      </c>
      <c r="H800" s="34" t="s">
        <v>29</v>
      </c>
      <c r="I800" s="34" t="s">
        <v>40</v>
      </c>
      <c r="K800" s="34" t="s">
        <v>1811</v>
      </c>
      <c r="M800" s="24"/>
      <c r="N800" s="24"/>
      <c r="O800" s="34" t="s">
        <v>29</v>
      </c>
      <c r="P800" s="34">
        <v>16.0</v>
      </c>
      <c r="Q800" s="34">
        <v>2666.0</v>
      </c>
      <c r="R800" s="34" t="s">
        <v>34</v>
      </c>
      <c r="S800" s="34" t="s">
        <v>1225</v>
      </c>
    </row>
    <row r="801" ht="15.75" customHeight="1">
      <c r="A801" s="33">
        <v>45868.21550935185</v>
      </c>
      <c r="B801" s="34" t="s">
        <v>288</v>
      </c>
      <c r="C801" s="34" t="s">
        <v>1463</v>
      </c>
      <c r="D801" s="34" t="s">
        <v>852</v>
      </c>
      <c r="E801" s="34" t="s">
        <v>1812</v>
      </c>
      <c r="F801" s="34">
        <v>1.0</v>
      </c>
      <c r="G801" s="34">
        <v>18.0</v>
      </c>
      <c r="H801" s="34" t="s">
        <v>29</v>
      </c>
      <c r="I801" s="34" t="s">
        <v>40</v>
      </c>
      <c r="J801" s="34" t="s">
        <v>1813</v>
      </c>
      <c r="K801" s="34" t="s">
        <v>1814</v>
      </c>
      <c r="L801" s="34" t="s">
        <v>1279</v>
      </c>
      <c r="M801" s="24"/>
      <c r="N801" s="24"/>
      <c r="O801" s="34" t="s">
        <v>40</v>
      </c>
      <c r="P801" s="34">
        <v>16.0</v>
      </c>
      <c r="Q801" s="34">
        <v>3200.0</v>
      </c>
      <c r="R801" s="34" t="s">
        <v>34</v>
      </c>
      <c r="S801" s="34" t="s">
        <v>1225</v>
      </c>
    </row>
    <row r="802" ht="15.75" customHeight="1">
      <c r="A802" s="33">
        <v>45870.18728049769</v>
      </c>
      <c r="B802" s="34" t="s">
        <v>118</v>
      </c>
      <c r="C802" s="34" t="s">
        <v>1563</v>
      </c>
      <c r="D802" s="34" t="s">
        <v>71</v>
      </c>
      <c r="E802" s="34" t="s">
        <v>1815</v>
      </c>
      <c r="F802" s="34">
        <v>1.0</v>
      </c>
      <c r="G802" s="34">
        <v>18.0</v>
      </c>
      <c r="H802" s="34" t="s">
        <v>29</v>
      </c>
      <c r="I802" s="34" t="s">
        <v>40</v>
      </c>
      <c r="K802" s="34" t="s">
        <v>1816</v>
      </c>
      <c r="L802" s="34" t="s">
        <v>111</v>
      </c>
      <c r="M802" s="35" t="s">
        <v>116</v>
      </c>
      <c r="N802" s="37" t="s">
        <v>1817</v>
      </c>
      <c r="O802" s="34" t="s">
        <v>40</v>
      </c>
      <c r="P802" s="34">
        <v>16.0</v>
      </c>
      <c r="Q802" s="34">
        <v>2666.0</v>
      </c>
      <c r="R802" s="34" t="s">
        <v>34</v>
      </c>
      <c r="S802" s="34" t="s">
        <v>1225</v>
      </c>
    </row>
    <row r="803" ht="15.75" customHeight="1">
      <c r="A803" s="33">
        <v>45870.26817782407</v>
      </c>
      <c r="B803" s="34" t="s">
        <v>1796</v>
      </c>
      <c r="C803" s="34" t="s">
        <v>1463</v>
      </c>
      <c r="D803" s="34" t="s">
        <v>101</v>
      </c>
      <c r="E803" s="34" t="s">
        <v>1818</v>
      </c>
      <c r="F803" s="34">
        <v>2.0</v>
      </c>
      <c r="G803" s="34">
        <v>10.0</v>
      </c>
      <c r="H803" s="34" t="s">
        <v>29</v>
      </c>
      <c r="I803" s="34" t="s">
        <v>40</v>
      </c>
      <c r="J803" s="34" t="s">
        <v>1819</v>
      </c>
      <c r="K803" s="34" t="s">
        <v>1208</v>
      </c>
      <c r="L803" s="34" t="s">
        <v>1156</v>
      </c>
      <c r="M803" s="37" t="s">
        <v>1820</v>
      </c>
      <c r="N803" s="24"/>
      <c r="O803" s="34" t="s">
        <v>40</v>
      </c>
      <c r="P803" s="34">
        <v>8.0</v>
      </c>
      <c r="Q803" s="34">
        <v>2666.0</v>
      </c>
      <c r="R803" s="34" t="s">
        <v>34</v>
      </c>
      <c r="S803" s="34" t="s">
        <v>1225</v>
      </c>
    </row>
    <row r="804" ht="15.75" customHeight="1">
      <c r="A804" s="33">
        <v>45873.43694006944</v>
      </c>
      <c r="B804" s="34" t="s">
        <v>465</v>
      </c>
      <c r="C804" s="34" t="s">
        <v>1821</v>
      </c>
      <c r="D804" s="34" t="s">
        <v>38</v>
      </c>
      <c r="E804" s="34" t="s">
        <v>634</v>
      </c>
      <c r="F804" s="34">
        <v>1.0</v>
      </c>
      <c r="G804" s="34">
        <v>18.0</v>
      </c>
      <c r="H804" s="34" t="s">
        <v>29</v>
      </c>
      <c r="I804" s="34" t="s">
        <v>40</v>
      </c>
      <c r="K804" s="34" t="s">
        <v>1822</v>
      </c>
      <c r="L804" s="34" t="s">
        <v>151</v>
      </c>
      <c r="M804" s="37" t="s">
        <v>1823</v>
      </c>
      <c r="N804" s="24"/>
      <c r="O804" s="34" t="s">
        <v>40</v>
      </c>
      <c r="P804" s="34">
        <v>16.0</v>
      </c>
      <c r="Q804" s="34">
        <v>2666.0</v>
      </c>
      <c r="R804" s="34" t="s">
        <v>34</v>
      </c>
      <c r="S804" s="34" t="s">
        <v>1220</v>
      </c>
    </row>
    <row r="805" ht="15.75" customHeight="1">
      <c r="A805" s="33">
        <v>45873.86048077546</v>
      </c>
      <c r="B805" s="34" t="s">
        <v>124</v>
      </c>
      <c r="C805" s="34" t="s">
        <v>1767</v>
      </c>
      <c r="D805" s="34" t="s">
        <v>119</v>
      </c>
      <c r="E805" s="34" t="s">
        <v>1824</v>
      </c>
      <c r="F805" s="34">
        <v>1.0</v>
      </c>
      <c r="G805" s="34">
        <v>18.0</v>
      </c>
      <c r="H805" s="34" t="s">
        <v>29</v>
      </c>
      <c r="I805" s="34" t="s">
        <v>40</v>
      </c>
      <c r="K805" s="34" t="s">
        <v>1825</v>
      </c>
      <c r="L805" s="34" t="s">
        <v>136</v>
      </c>
      <c r="M805" s="35" t="s">
        <v>217</v>
      </c>
      <c r="N805" s="24"/>
      <c r="O805" s="34" t="s">
        <v>126</v>
      </c>
      <c r="P805" s="34">
        <v>16.0</v>
      </c>
      <c r="Q805" s="34">
        <v>2666.0</v>
      </c>
      <c r="R805" s="34" t="s">
        <v>34</v>
      </c>
      <c r="S805" s="34" t="s">
        <v>1225</v>
      </c>
    </row>
    <row r="806" ht="15.75" customHeight="1">
      <c r="A806" s="33">
        <v>45874.17468309028</v>
      </c>
      <c r="B806" s="34" t="s">
        <v>36</v>
      </c>
      <c r="C806" s="34" t="s">
        <v>1563</v>
      </c>
      <c r="D806" s="34" t="s">
        <v>852</v>
      </c>
      <c r="E806" s="34" t="s">
        <v>1826</v>
      </c>
      <c r="F806" s="34">
        <v>2.0</v>
      </c>
      <c r="G806" s="34">
        <v>18.0</v>
      </c>
      <c r="H806" s="34" t="s">
        <v>29</v>
      </c>
      <c r="I806" s="34" t="s">
        <v>40</v>
      </c>
      <c r="K806" s="34" t="s">
        <v>1827</v>
      </c>
      <c r="L806" s="34" t="s">
        <v>611</v>
      </c>
      <c r="M806" s="37" t="s">
        <v>1828</v>
      </c>
      <c r="N806" s="24"/>
      <c r="O806" s="34" t="s">
        <v>40</v>
      </c>
      <c r="P806" s="34">
        <v>16.0</v>
      </c>
      <c r="Q806" s="34">
        <v>2666.0</v>
      </c>
      <c r="R806" s="34" t="s">
        <v>34</v>
      </c>
      <c r="S806" s="34" t="s">
        <v>1225</v>
      </c>
    </row>
    <row r="807" ht="15.75" customHeight="1">
      <c r="A807" s="33">
        <v>45875.52459361111</v>
      </c>
      <c r="B807" s="34" t="s">
        <v>465</v>
      </c>
      <c r="C807" s="34" t="s">
        <v>1821</v>
      </c>
      <c r="D807" s="34" t="s">
        <v>27</v>
      </c>
      <c r="E807" s="34" t="s">
        <v>329</v>
      </c>
      <c r="F807" s="34">
        <v>1.0</v>
      </c>
      <c r="G807" s="34">
        <v>10.0</v>
      </c>
      <c r="H807" s="34" t="s">
        <v>29</v>
      </c>
      <c r="I807" s="34" t="s">
        <v>40</v>
      </c>
      <c r="K807" s="34" t="s">
        <v>1829</v>
      </c>
      <c r="L807" s="34" t="s">
        <v>354</v>
      </c>
      <c r="M807" s="37" t="s">
        <v>27</v>
      </c>
      <c r="N807" s="24"/>
      <c r="O807" s="34" t="s">
        <v>40</v>
      </c>
      <c r="P807" s="34">
        <v>8.0</v>
      </c>
      <c r="Q807" s="34">
        <v>2666.0</v>
      </c>
      <c r="R807" s="34" t="s">
        <v>34</v>
      </c>
      <c r="S807" s="34" t="s">
        <v>1220</v>
      </c>
    </row>
    <row r="808" ht="15.75" customHeight="1">
      <c r="A808" s="33">
        <v>45875.900065821756</v>
      </c>
      <c r="B808" s="34" t="s">
        <v>465</v>
      </c>
      <c r="C808" s="34" t="s">
        <v>1821</v>
      </c>
      <c r="D808" s="34" t="s">
        <v>789</v>
      </c>
      <c r="E808" s="34" t="s">
        <v>1830</v>
      </c>
      <c r="F808" s="34">
        <v>1.0</v>
      </c>
      <c r="G808" s="34">
        <v>18.0</v>
      </c>
      <c r="H808" s="34" t="s">
        <v>29</v>
      </c>
      <c r="I808" s="34" t="s">
        <v>40</v>
      </c>
      <c r="K808" s="34" t="s">
        <v>1831</v>
      </c>
      <c r="L808" s="34" t="s">
        <v>111</v>
      </c>
      <c r="M808" s="37" t="s">
        <v>1832</v>
      </c>
      <c r="N808" s="37" t="s">
        <v>1833</v>
      </c>
      <c r="O808" s="34" t="s">
        <v>40</v>
      </c>
      <c r="P808" s="34">
        <v>16.0</v>
      </c>
      <c r="Q808" s="34">
        <v>2666.0</v>
      </c>
      <c r="R808" s="34" t="s">
        <v>34</v>
      </c>
      <c r="S808" s="34" t="s">
        <v>1220</v>
      </c>
    </row>
    <row r="809" ht="15.75" customHeight="1">
      <c r="A809" s="33">
        <v>45877.31668097222</v>
      </c>
      <c r="B809" s="34" t="s">
        <v>980</v>
      </c>
      <c r="C809" s="34" t="s">
        <v>1821</v>
      </c>
      <c r="D809" s="34" t="s">
        <v>27</v>
      </c>
      <c r="E809" s="34" t="s">
        <v>1834</v>
      </c>
      <c r="F809" s="34">
        <v>2.0</v>
      </c>
      <c r="G809" s="34">
        <v>16.0</v>
      </c>
      <c r="H809" s="34" t="s">
        <v>29</v>
      </c>
      <c r="I809" s="34" t="s">
        <v>29</v>
      </c>
      <c r="K809" s="34" t="s">
        <v>1835</v>
      </c>
      <c r="L809" s="34" t="s">
        <v>1836</v>
      </c>
      <c r="M809" s="24"/>
      <c r="N809" s="37" t="s">
        <v>1837</v>
      </c>
      <c r="O809" s="34" t="s">
        <v>40</v>
      </c>
      <c r="P809" s="34">
        <v>8.0</v>
      </c>
      <c r="Q809" s="34">
        <v>2666.0</v>
      </c>
      <c r="R809" s="34" t="s">
        <v>34</v>
      </c>
      <c r="S809" s="34" t="s">
        <v>1217</v>
      </c>
    </row>
    <row r="810" ht="15.75" customHeight="1">
      <c r="A810" s="33">
        <v>45877.84621966435</v>
      </c>
      <c r="B810" s="34" t="s">
        <v>169</v>
      </c>
      <c r="C810" s="34" t="s">
        <v>1821</v>
      </c>
      <c r="D810" s="34" t="s">
        <v>27</v>
      </c>
      <c r="E810" s="34" t="s">
        <v>1312</v>
      </c>
      <c r="F810" s="34">
        <v>2.0</v>
      </c>
      <c r="G810" s="34">
        <v>32.0</v>
      </c>
      <c r="H810" s="34" t="s">
        <v>29</v>
      </c>
      <c r="I810" s="34" t="s">
        <v>40</v>
      </c>
      <c r="K810" s="34" t="s">
        <v>1838</v>
      </c>
      <c r="L810" s="34" t="s">
        <v>31</v>
      </c>
      <c r="M810" s="35" t="s">
        <v>1839</v>
      </c>
      <c r="N810" s="24"/>
      <c r="O810" s="34" t="s">
        <v>40</v>
      </c>
      <c r="P810" s="34">
        <v>16.0</v>
      </c>
      <c r="Q810" s="34">
        <v>3200.0</v>
      </c>
      <c r="R810" s="34" t="s">
        <v>34</v>
      </c>
      <c r="S810" s="34" t="s">
        <v>1217</v>
      </c>
    </row>
    <row r="811" ht="15.75" customHeight="1">
      <c r="A811" s="33">
        <v>45884.55547299769</v>
      </c>
      <c r="B811" s="34" t="s">
        <v>288</v>
      </c>
      <c r="C811" s="34" t="s">
        <v>1034</v>
      </c>
      <c r="D811" s="34" t="s">
        <v>38</v>
      </c>
      <c r="E811" s="34" t="s">
        <v>368</v>
      </c>
      <c r="F811" s="34">
        <v>1.0</v>
      </c>
      <c r="G811" s="34">
        <v>18.0</v>
      </c>
      <c r="H811" s="34" t="s">
        <v>40</v>
      </c>
      <c r="I811" s="34" t="s">
        <v>40</v>
      </c>
      <c r="J811" s="34" t="s">
        <v>1840</v>
      </c>
      <c r="K811" s="34" t="s">
        <v>1841</v>
      </c>
      <c r="L811" s="34" t="s">
        <v>219</v>
      </c>
      <c r="M811" s="35" t="s">
        <v>1842</v>
      </c>
      <c r="N811" s="24"/>
      <c r="O811" s="34" t="s">
        <v>126</v>
      </c>
      <c r="P811" s="34">
        <v>16.0</v>
      </c>
      <c r="Q811" s="34">
        <v>3200.0</v>
      </c>
      <c r="R811" s="34" t="s">
        <v>34</v>
      </c>
      <c r="S811" s="34" t="s">
        <v>1217</v>
      </c>
    </row>
    <row r="812" ht="15.75" customHeight="1">
      <c r="A812" s="33">
        <v>45884.85473298611</v>
      </c>
      <c r="B812" s="34" t="s">
        <v>36</v>
      </c>
      <c r="C812" s="34" t="s">
        <v>1563</v>
      </c>
      <c r="D812" s="34" t="s">
        <v>119</v>
      </c>
      <c r="E812" s="34" t="s">
        <v>812</v>
      </c>
      <c r="F812" s="34">
        <v>1.0</v>
      </c>
      <c r="G812" s="34">
        <v>12.0</v>
      </c>
      <c r="H812" s="34" t="s">
        <v>29</v>
      </c>
      <c r="I812" s="34" t="s">
        <v>40</v>
      </c>
      <c r="K812" s="34" t="s">
        <v>1827</v>
      </c>
      <c r="L812" s="34" t="s">
        <v>611</v>
      </c>
      <c r="M812" s="37" t="s">
        <v>612</v>
      </c>
      <c r="N812" s="24"/>
      <c r="O812" s="34" t="s">
        <v>40</v>
      </c>
      <c r="P812" s="34">
        <v>8.0</v>
      </c>
      <c r="Q812" s="34">
        <v>2666.0</v>
      </c>
      <c r="R812" s="34" t="s">
        <v>34</v>
      </c>
      <c r="S812" s="34" t="s">
        <v>1225</v>
      </c>
    </row>
    <row r="813" ht="15.75" customHeight="1">
      <c r="A813" s="33">
        <v>45885.44544708333</v>
      </c>
      <c r="B813" s="34" t="s">
        <v>1085</v>
      </c>
      <c r="C813" s="34" t="s">
        <v>1570</v>
      </c>
      <c r="D813" s="34" t="s">
        <v>27</v>
      </c>
      <c r="E813" s="34" t="s">
        <v>1843</v>
      </c>
      <c r="F813" s="34">
        <v>2.0</v>
      </c>
      <c r="G813" s="34">
        <v>16.0</v>
      </c>
      <c r="H813" s="34" t="s">
        <v>29</v>
      </c>
      <c r="I813" s="34" t="s">
        <v>40</v>
      </c>
      <c r="J813" s="34" t="s">
        <v>1844</v>
      </c>
      <c r="K813" s="34" t="s">
        <v>1845</v>
      </c>
      <c r="L813" s="34" t="s">
        <v>538</v>
      </c>
      <c r="M813" s="37" t="s">
        <v>1846</v>
      </c>
      <c r="N813" s="37" t="s">
        <v>1847</v>
      </c>
      <c r="O813" s="34" t="s">
        <v>40</v>
      </c>
      <c r="P813" s="34">
        <v>8.0</v>
      </c>
      <c r="Q813" s="34">
        <v>1600.0</v>
      </c>
      <c r="R813" s="34" t="s">
        <v>1219</v>
      </c>
      <c r="S813" s="34" t="s">
        <v>1220</v>
      </c>
    </row>
    <row r="814" ht="15.75" customHeight="1">
      <c r="A814" s="33">
        <v>45887.42080877315</v>
      </c>
      <c r="B814" s="34" t="s">
        <v>138</v>
      </c>
      <c r="C814" s="34" t="s">
        <v>1821</v>
      </c>
      <c r="D814" s="34" t="s">
        <v>27</v>
      </c>
      <c r="E814" s="34" t="s">
        <v>511</v>
      </c>
      <c r="F814" s="34">
        <v>2.0</v>
      </c>
      <c r="G814" s="34">
        <v>32.0</v>
      </c>
      <c r="H814" s="34" t="s">
        <v>29</v>
      </c>
      <c r="I814" s="34" t="s">
        <v>40</v>
      </c>
      <c r="K814" s="34" t="s">
        <v>1848</v>
      </c>
      <c r="L814" s="34" t="s">
        <v>1156</v>
      </c>
      <c r="M814" s="37" t="s">
        <v>1849</v>
      </c>
      <c r="N814" s="37" t="s">
        <v>1850</v>
      </c>
      <c r="O814" s="34" t="s">
        <v>29</v>
      </c>
      <c r="P814" s="34">
        <v>16.0</v>
      </c>
      <c r="Q814" s="34">
        <v>3200.0</v>
      </c>
      <c r="R814" s="34" t="s">
        <v>34</v>
      </c>
      <c r="S814" s="34" t="s">
        <v>1225</v>
      </c>
    </row>
    <row r="815" ht="15.75" customHeight="1">
      <c r="A815" s="33">
        <v>45888.736575069444</v>
      </c>
      <c r="B815" s="34" t="s">
        <v>465</v>
      </c>
      <c r="C815" s="34" t="s">
        <v>1821</v>
      </c>
      <c r="D815" s="34" t="s">
        <v>38</v>
      </c>
      <c r="E815" s="34" t="s">
        <v>368</v>
      </c>
      <c r="F815" s="34">
        <v>1.0</v>
      </c>
      <c r="G815" s="34">
        <v>10.0</v>
      </c>
      <c r="H815" s="34" t="s">
        <v>40</v>
      </c>
      <c r="I815" s="34" t="s">
        <v>40</v>
      </c>
      <c r="J815" s="34" t="s">
        <v>1851</v>
      </c>
      <c r="K815" s="34" t="s">
        <v>1852</v>
      </c>
      <c r="L815" s="34" t="s">
        <v>136</v>
      </c>
      <c r="M815" s="35" t="s">
        <v>50</v>
      </c>
      <c r="N815" s="24"/>
      <c r="O815" s="34" t="s">
        <v>40</v>
      </c>
      <c r="P815" s="34">
        <v>16.0</v>
      </c>
      <c r="Q815" s="34">
        <v>3200.0</v>
      </c>
      <c r="R815" s="34" t="s">
        <v>34</v>
      </c>
      <c r="S815" s="34" t="s">
        <v>1225</v>
      </c>
    </row>
    <row r="816" ht="15.75" customHeight="1">
      <c r="A816" s="33">
        <v>45889.67179329861</v>
      </c>
      <c r="B816" s="34" t="s">
        <v>465</v>
      </c>
      <c r="C816" s="34" t="s">
        <v>1821</v>
      </c>
      <c r="D816" s="34" t="s">
        <v>1853</v>
      </c>
      <c r="E816" s="34" t="s">
        <v>1854</v>
      </c>
      <c r="F816" s="34">
        <v>1.0</v>
      </c>
      <c r="G816" s="34">
        <v>6.0</v>
      </c>
      <c r="H816" s="34" t="s">
        <v>29</v>
      </c>
      <c r="I816" s="34" t="s">
        <v>40</v>
      </c>
      <c r="J816" s="34" t="s">
        <v>1855</v>
      </c>
      <c r="K816" s="34" t="s">
        <v>1856</v>
      </c>
      <c r="M816" s="37" t="s">
        <v>1857</v>
      </c>
      <c r="N816" s="37" t="s">
        <v>1858</v>
      </c>
      <c r="O816" s="34" t="s">
        <v>126</v>
      </c>
      <c r="P816" s="34">
        <v>4.0</v>
      </c>
      <c r="Q816" s="34">
        <v>2666.0</v>
      </c>
      <c r="R816" s="34" t="s">
        <v>34</v>
      </c>
      <c r="S816" s="34" t="s">
        <v>1220</v>
      </c>
    </row>
    <row r="817" ht="15.75" customHeight="1">
      <c r="A817" s="33">
        <v>45890.790647013884</v>
      </c>
      <c r="B817" s="34" t="s">
        <v>1796</v>
      </c>
      <c r="C817" s="34" t="s">
        <v>1821</v>
      </c>
      <c r="D817" s="34" t="s">
        <v>38</v>
      </c>
      <c r="E817" s="34" t="s">
        <v>1090</v>
      </c>
      <c r="F817" s="34">
        <v>1.0</v>
      </c>
      <c r="H817" s="34" t="s">
        <v>40</v>
      </c>
      <c r="I817" s="34" t="s">
        <v>40</v>
      </c>
      <c r="K817" s="34" t="s">
        <v>1859</v>
      </c>
      <c r="L817" s="34" t="s">
        <v>296</v>
      </c>
      <c r="M817" s="37" t="s">
        <v>260</v>
      </c>
      <c r="N817" s="24"/>
      <c r="O817" s="34" t="s">
        <v>126</v>
      </c>
      <c r="P817" s="34">
        <v>16.0</v>
      </c>
      <c r="Q817" s="34">
        <v>3200.0</v>
      </c>
      <c r="R817" s="34" t="s">
        <v>34</v>
      </c>
      <c r="S817" s="34" t="s">
        <v>1217</v>
      </c>
    </row>
    <row r="818" ht="15.75" customHeight="1">
      <c r="A818" s="33">
        <v>45890.792873611106</v>
      </c>
      <c r="B818" s="34" t="s">
        <v>1796</v>
      </c>
      <c r="C818" s="34" t="s">
        <v>1821</v>
      </c>
      <c r="D818" s="34" t="s">
        <v>38</v>
      </c>
      <c r="E818" s="34" t="s">
        <v>1860</v>
      </c>
      <c r="F818" s="34">
        <v>1.0</v>
      </c>
      <c r="H818" s="34" t="s">
        <v>40</v>
      </c>
      <c r="I818" s="34" t="s">
        <v>40</v>
      </c>
      <c r="K818" s="34" t="s">
        <v>1859</v>
      </c>
      <c r="L818" s="34" t="s">
        <v>296</v>
      </c>
      <c r="M818" s="37" t="s">
        <v>279</v>
      </c>
      <c r="N818" s="24"/>
      <c r="O818" s="34" t="s">
        <v>126</v>
      </c>
      <c r="P818" s="34">
        <v>16.0</v>
      </c>
      <c r="Q818" s="34">
        <v>2666.0</v>
      </c>
      <c r="R818" s="34" t="s">
        <v>34</v>
      </c>
      <c r="S818" s="34" t="s">
        <v>1220</v>
      </c>
    </row>
    <row r="819" ht="15.75" customHeight="1">
      <c r="A819" s="33">
        <v>45890.79470082176</v>
      </c>
      <c r="B819" s="34" t="s">
        <v>1796</v>
      </c>
      <c r="C819" s="34" t="s">
        <v>1821</v>
      </c>
      <c r="D819" s="34" t="s">
        <v>976</v>
      </c>
      <c r="E819" s="34" t="s">
        <v>1075</v>
      </c>
      <c r="F819" s="34">
        <v>1.0</v>
      </c>
      <c r="H819" s="34" t="s">
        <v>40</v>
      </c>
      <c r="I819" s="34" t="s">
        <v>40</v>
      </c>
      <c r="K819" s="34" t="s">
        <v>1859</v>
      </c>
      <c r="L819" s="34" t="s">
        <v>296</v>
      </c>
      <c r="M819" s="37" t="s">
        <v>210</v>
      </c>
      <c r="N819" s="24"/>
      <c r="O819" s="34" t="s">
        <v>126</v>
      </c>
      <c r="P819" s="34">
        <v>16.0</v>
      </c>
      <c r="Q819" s="34">
        <v>2666.0</v>
      </c>
      <c r="R819" s="34" t="s">
        <v>34</v>
      </c>
      <c r="S819" s="34" t="s">
        <v>1225</v>
      </c>
    </row>
    <row r="820" ht="15.75" customHeight="1">
      <c r="A820" s="33">
        <v>45890.797419236114</v>
      </c>
      <c r="B820" s="34" t="s">
        <v>1796</v>
      </c>
      <c r="C820" s="34" t="s">
        <v>1821</v>
      </c>
      <c r="D820" s="34" t="s">
        <v>716</v>
      </c>
      <c r="E820" s="34" t="s">
        <v>1861</v>
      </c>
      <c r="F820" s="34">
        <v>1.0</v>
      </c>
      <c r="G820" s="34">
        <v>16.0</v>
      </c>
      <c r="H820" s="34" t="s">
        <v>40</v>
      </c>
      <c r="I820" s="34" t="s">
        <v>40</v>
      </c>
      <c r="K820" s="34" t="s">
        <v>1859</v>
      </c>
      <c r="L820" s="34" t="s">
        <v>296</v>
      </c>
      <c r="M820" s="37" t="s">
        <v>210</v>
      </c>
      <c r="N820" s="24"/>
      <c r="O820" s="34" t="s">
        <v>126</v>
      </c>
      <c r="P820" s="34">
        <v>16.0</v>
      </c>
      <c r="Q820" s="34">
        <v>2666.0</v>
      </c>
      <c r="R820" s="34" t="s">
        <v>34</v>
      </c>
      <c r="S820" s="34" t="s">
        <v>1225</v>
      </c>
    </row>
    <row r="821" ht="15.75" customHeight="1">
      <c r="A821" s="33">
        <v>45890.89231026621</v>
      </c>
      <c r="B821" s="34" t="s">
        <v>1796</v>
      </c>
      <c r="C821" s="34" t="s">
        <v>1821</v>
      </c>
      <c r="D821" s="34" t="s">
        <v>716</v>
      </c>
      <c r="E821" s="34" t="s">
        <v>345</v>
      </c>
      <c r="F821" s="34">
        <v>1.0</v>
      </c>
      <c r="H821" s="34" t="s">
        <v>40</v>
      </c>
      <c r="I821" s="34" t="s">
        <v>40</v>
      </c>
      <c r="K821" s="34" t="s">
        <v>1859</v>
      </c>
      <c r="L821" s="34" t="s">
        <v>296</v>
      </c>
      <c r="M821" s="37" t="s">
        <v>210</v>
      </c>
      <c r="N821" s="24"/>
      <c r="O821" s="34" t="s">
        <v>40</v>
      </c>
      <c r="P821" s="34">
        <v>16.0</v>
      </c>
      <c r="Q821" s="34">
        <v>2666.0</v>
      </c>
      <c r="R821" s="34" t="s">
        <v>34</v>
      </c>
      <c r="S821" s="34" t="s">
        <v>1225</v>
      </c>
    </row>
    <row r="822" ht="15.75" customHeight="1">
      <c r="A822" s="33">
        <v>45891.96401916667</v>
      </c>
      <c r="B822" s="34" t="s">
        <v>2</v>
      </c>
      <c r="C822" s="34" t="s">
        <v>1821</v>
      </c>
      <c r="D822" s="34" t="s">
        <v>101</v>
      </c>
      <c r="E822" s="34" t="s">
        <v>1862</v>
      </c>
      <c r="F822" s="34">
        <v>2.0</v>
      </c>
      <c r="G822" s="34">
        <v>32.0</v>
      </c>
      <c r="H822" s="34" t="s">
        <v>29</v>
      </c>
      <c r="I822" s="34" t="s">
        <v>40</v>
      </c>
      <c r="J822" s="34" t="s">
        <v>1863</v>
      </c>
      <c r="K822" s="34" t="s">
        <v>1864</v>
      </c>
      <c r="L822" s="34" t="s">
        <v>436</v>
      </c>
      <c r="M822" s="37" t="s">
        <v>1865</v>
      </c>
      <c r="N822" s="37" t="s">
        <v>1866</v>
      </c>
      <c r="O822" s="34" t="s">
        <v>29</v>
      </c>
      <c r="P822" s="34">
        <v>16.0</v>
      </c>
      <c r="Q822" s="34">
        <v>3200.0</v>
      </c>
      <c r="R822" s="34" t="s">
        <v>34</v>
      </c>
      <c r="S822" s="34" t="s">
        <v>1220</v>
      </c>
    </row>
    <row r="823" ht="15.75" customHeight="1">
      <c r="A823" s="33">
        <v>45893.36449559028</v>
      </c>
      <c r="B823" s="34" t="s">
        <v>1796</v>
      </c>
      <c r="C823" s="34" t="s">
        <v>1821</v>
      </c>
      <c r="D823" s="34" t="s">
        <v>1867</v>
      </c>
      <c r="E823" s="34" t="s">
        <v>473</v>
      </c>
      <c r="F823" s="34">
        <v>1.0</v>
      </c>
      <c r="G823" s="34">
        <v>18.0</v>
      </c>
      <c r="H823" s="34" t="s">
        <v>40</v>
      </c>
      <c r="I823" s="34" t="s">
        <v>40</v>
      </c>
      <c r="K823" s="34" t="s">
        <v>1859</v>
      </c>
      <c r="L823" s="34" t="s">
        <v>296</v>
      </c>
      <c r="M823" s="37" t="s">
        <v>210</v>
      </c>
      <c r="N823" s="24"/>
      <c r="O823" s="34" t="s">
        <v>40</v>
      </c>
      <c r="P823" s="34">
        <v>16.0</v>
      </c>
      <c r="Q823" s="34">
        <v>2666.0</v>
      </c>
      <c r="R823" s="34" t="s">
        <v>34</v>
      </c>
      <c r="S823" s="34" t="s">
        <v>1225</v>
      </c>
    </row>
    <row r="824" ht="15.75" customHeight="1">
      <c r="A824" s="33">
        <v>45893.93730878472</v>
      </c>
      <c r="B824" s="34" t="s">
        <v>465</v>
      </c>
      <c r="C824" s="34" t="s">
        <v>1821</v>
      </c>
      <c r="D824" s="34" t="s">
        <v>38</v>
      </c>
      <c r="E824" s="34" t="s">
        <v>39</v>
      </c>
      <c r="F824" s="34">
        <v>1.0</v>
      </c>
      <c r="G824" s="34">
        <v>18.0</v>
      </c>
      <c r="H824" s="34" t="s">
        <v>29</v>
      </c>
      <c r="I824" s="34" t="s">
        <v>40</v>
      </c>
      <c r="J824" s="34" t="s">
        <v>1868</v>
      </c>
      <c r="K824" s="34" t="s">
        <v>1869</v>
      </c>
      <c r="L824" s="34" t="s">
        <v>136</v>
      </c>
      <c r="M824" s="35" t="s">
        <v>50</v>
      </c>
      <c r="N824" s="24"/>
      <c r="O824" s="34" t="s">
        <v>40</v>
      </c>
      <c r="P824" s="34">
        <v>16.0</v>
      </c>
      <c r="Q824" s="34">
        <v>2666.0</v>
      </c>
      <c r="R824" s="34" t="s">
        <v>34</v>
      </c>
      <c r="S824" s="34" t="s">
        <v>1225</v>
      </c>
    </row>
    <row r="825" ht="15.75" customHeight="1">
      <c r="A825" s="33">
        <v>45895.46613854167</v>
      </c>
      <c r="B825" s="34" t="s">
        <v>288</v>
      </c>
      <c r="C825" s="34" t="s">
        <v>1034</v>
      </c>
      <c r="D825" s="34" t="s">
        <v>27</v>
      </c>
      <c r="E825" s="34" t="s">
        <v>212</v>
      </c>
      <c r="F825" s="34">
        <v>1.0</v>
      </c>
      <c r="G825" s="34">
        <v>18.0</v>
      </c>
      <c r="H825" s="34" t="s">
        <v>29</v>
      </c>
      <c r="I825" s="34" t="s">
        <v>40</v>
      </c>
      <c r="K825" s="34" t="s">
        <v>1841</v>
      </c>
      <c r="L825" s="34" t="s">
        <v>219</v>
      </c>
      <c r="M825" s="35" t="s">
        <v>50</v>
      </c>
      <c r="N825" s="24"/>
      <c r="O825" s="34" t="s">
        <v>126</v>
      </c>
      <c r="P825" s="34">
        <v>16.0</v>
      </c>
      <c r="Q825" s="34">
        <v>2666.0</v>
      </c>
      <c r="R825" s="34" t="s">
        <v>1219</v>
      </c>
      <c r="S825" s="34" t="s">
        <v>1225</v>
      </c>
    </row>
    <row r="826" ht="15.75" customHeight="1">
      <c r="A826" s="33">
        <v>45895.86278306713</v>
      </c>
      <c r="B826" s="34" t="s">
        <v>465</v>
      </c>
      <c r="C826" s="34" t="s">
        <v>1821</v>
      </c>
      <c r="D826" s="34" t="s">
        <v>1870</v>
      </c>
      <c r="E826" s="34" t="s">
        <v>1871</v>
      </c>
      <c r="F826" s="34">
        <v>1.0</v>
      </c>
      <c r="G826" s="34">
        <v>10.0</v>
      </c>
      <c r="H826" s="34" t="s">
        <v>29</v>
      </c>
      <c r="I826" s="34" t="s">
        <v>40</v>
      </c>
      <c r="K826" s="34" t="s">
        <v>1872</v>
      </c>
      <c r="L826" s="34" t="s">
        <v>611</v>
      </c>
      <c r="M826" s="24"/>
      <c r="N826" s="24"/>
      <c r="O826" s="34" t="s">
        <v>126</v>
      </c>
      <c r="P826" s="34">
        <v>8.0</v>
      </c>
      <c r="Q826" s="34">
        <v>2666.0</v>
      </c>
      <c r="R826" s="34" t="s">
        <v>34</v>
      </c>
      <c r="S826" s="34" t="s">
        <v>1217</v>
      </c>
    </row>
    <row r="827" ht="15.75" customHeight="1">
      <c r="A827" s="33">
        <v>45896.611351597225</v>
      </c>
      <c r="B827" s="34" t="s">
        <v>1873</v>
      </c>
      <c r="C827" s="34" t="s">
        <v>1821</v>
      </c>
      <c r="D827" s="34" t="s">
        <v>127</v>
      </c>
      <c r="E827" s="34" t="s">
        <v>1874</v>
      </c>
      <c r="F827" s="34">
        <v>1.0</v>
      </c>
      <c r="G827" s="34">
        <v>18.0</v>
      </c>
      <c r="H827" s="34" t="s">
        <v>40</v>
      </c>
      <c r="I827" s="34" t="s">
        <v>40</v>
      </c>
      <c r="K827" s="34" t="s">
        <v>1859</v>
      </c>
      <c r="L827" s="34" t="s">
        <v>296</v>
      </c>
      <c r="M827" s="37" t="s">
        <v>210</v>
      </c>
      <c r="N827" s="24"/>
      <c r="O827" s="34" t="s">
        <v>40</v>
      </c>
      <c r="P827" s="34">
        <v>16.0</v>
      </c>
      <c r="Q827" s="34">
        <v>2666.0</v>
      </c>
      <c r="R827" s="34" t="s">
        <v>34</v>
      </c>
      <c r="S827" s="34" t="s">
        <v>1225</v>
      </c>
    </row>
    <row r="828" ht="15.75" customHeight="1">
      <c r="A828" s="33">
        <v>45896.66345232639</v>
      </c>
      <c r="B828" s="34" t="s">
        <v>2</v>
      </c>
      <c r="C828" s="34" t="s">
        <v>1821</v>
      </c>
      <c r="D828" s="34" t="s">
        <v>27</v>
      </c>
      <c r="E828" s="34" t="s">
        <v>1875</v>
      </c>
      <c r="F828" s="34">
        <v>1.0</v>
      </c>
      <c r="G828" s="34">
        <v>16.0</v>
      </c>
      <c r="H828" s="34" t="s">
        <v>29</v>
      </c>
      <c r="I828" s="34" t="s">
        <v>40</v>
      </c>
      <c r="J828" s="34" t="s">
        <v>1876</v>
      </c>
      <c r="K828" s="34" t="s">
        <v>1877</v>
      </c>
      <c r="L828" s="34" t="s">
        <v>1394</v>
      </c>
      <c r="M828" s="35" t="s">
        <v>1878</v>
      </c>
      <c r="N828" s="24"/>
      <c r="O828" s="34" t="s">
        <v>40</v>
      </c>
      <c r="P828" s="34">
        <v>16.0</v>
      </c>
      <c r="Q828" s="34">
        <v>3200.0</v>
      </c>
      <c r="R828" s="34" t="s">
        <v>34</v>
      </c>
      <c r="S828" s="34" t="s">
        <v>1225</v>
      </c>
    </row>
    <row r="829" ht="15.75" customHeight="1">
      <c r="A829" s="33">
        <v>45898.50047347222</v>
      </c>
      <c r="B829" s="34" t="s">
        <v>1796</v>
      </c>
      <c r="C829" s="34" t="s">
        <v>1821</v>
      </c>
      <c r="D829" s="34" t="s">
        <v>27</v>
      </c>
      <c r="E829" s="34" t="s">
        <v>157</v>
      </c>
      <c r="F829" s="34">
        <v>1.0</v>
      </c>
      <c r="G829" s="34">
        <v>18.0</v>
      </c>
      <c r="H829" s="34" t="s">
        <v>29</v>
      </c>
      <c r="I829" s="34" t="s">
        <v>40</v>
      </c>
      <c r="J829" s="34" t="s">
        <v>1879</v>
      </c>
      <c r="K829" s="34" t="s">
        <v>1880</v>
      </c>
      <c r="L829" s="34" t="s">
        <v>668</v>
      </c>
      <c r="M829" s="35" t="s">
        <v>1383</v>
      </c>
      <c r="N829" s="24"/>
      <c r="O829" s="34" t="s">
        <v>40</v>
      </c>
      <c r="P829" s="34">
        <v>16.0</v>
      </c>
      <c r="Q829" s="34">
        <v>2666.0</v>
      </c>
      <c r="R829" s="34" t="s">
        <v>34</v>
      </c>
      <c r="S829" s="34" t="s">
        <v>1225</v>
      </c>
    </row>
    <row r="830" ht="15.75" customHeight="1">
      <c r="A830" s="33">
        <v>45899.65349759259</v>
      </c>
      <c r="B830" s="34" t="s">
        <v>1796</v>
      </c>
      <c r="C830" s="34" t="s">
        <v>1881</v>
      </c>
      <c r="D830" s="34" t="s">
        <v>1186</v>
      </c>
      <c r="E830" s="34" t="s">
        <v>923</v>
      </c>
      <c r="F830" s="34">
        <v>1.0</v>
      </c>
      <c r="H830" s="34" t="s">
        <v>40</v>
      </c>
      <c r="I830" s="34" t="s">
        <v>40</v>
      </c>
      <c r="K830" s="34" t="s">
        <v>1859</v>
      </c>
      <c r="L830" s="34" t="s">
        <v>296</v>
      </c>
      <c r="M830" s="37" t="s">
        <v>210</v>
      </c>
      <c r="N830" s="24"/>
      <c r="O830" s="34" t="s">
        <v>40</v>
      </c>
      <c r="P830" s="34">
        <v>16.0</v>
      </c>
      <c r="Q830" s="34">
        <v>3200.0</v>
      </c>
      <c r="R830" s="34" t="s">
        <v>34</v>
      </c>
      <c r="S830" s="34" t="s">
        <v>1225</v>
      </c>
    </row>
    <row r="831" ht="15.75" customHeight="1">
      <c r="A831" s="33">
        <v>45900.742029560184</v>
      </c>
      <c r="B831" s="34" t="s">
        <v>124</v>
      </c>
      <c r="C831" s="34" t="s">
        <v>1821</v>
      </c>
      <c r="D831" s="34" t="s">
        <v>1882</v>
      </c>
      <c r="E831" s="34" t="s">
        <v>1883</v>
      </c>
      <c r="F831" s="34">
        <v>2.0</v>
      </c>
      <c r="G831" s="34">
        <v>18.0</v>
      </c>
      <c r="H831" s="34" t="s">
        <v>29</v>
      </c>
      <c r="I831" s="34" t="s">
        <v>40</v>
      </c>
      <c r="K831" s="34" t="s">
        <v>1884</v>
      </c>
      <c r="L831" s="34" t="s">
        <v>1885</v>
      </c>
      <c r="M831" s="35" t="s">
        <v>1886</v>
      </c>
      <c r="N831" s="37" t="s">
        <v>1887</v>
      </c>
      <c r="O831" s="34" t="s">
        <v>40</v>
      </c>
      <c r="P831" s="34">
        <v>16.0</v>
      </c>
      <c r="Q831" s="34">
        <v>2666.0</v>
      </c>
      <c r="R831" s="34" t="s">
        <v>34</v>
      </c>
      <c r="S831" s="34" t="s">
        <v>1225</v>
      </c>
    </row>
    <row r="832" ht="15.75" customHeight="1">
      <c r="A832" s="33">
        <v>45902.05441859954</v>
      </c>
      <c r="B832" s="34" t="s">
        <v>465</v>
      </c>
      <c r="C832" s="34" t="s">
        <v>1821</v>
      </c>
      <c r="D832" s="34" t="s">
        <v>38</v>
      </c>
      <c r="E832" s="34" t="s">
        <v>400</v>
      </c>
      <c r="F832" s="34">
        <v>1.0</v>
      </c>
      <c r="G832" s="34">
        <v>18.0</v>
      </c>
      <c r="H832" s="34" t="s">
        <v>29</v>
      </c>
      <c r="I832" s="34" t="s">
        <v>40</v>
      </c>
      <c r="J832" s="34"/>
      <c r="K832" s="34" t="s">
        <v>1888</v>
      </c>
      <c r="L832" s="34" t="s">
        <v>111</v>
      </c>
      <c r="M832" s="35" t="s">
        <v>50</v>
      </c>
      <c r="N832" s="24"/>
      <c r="O832" s="34" t="s">
        <v>40</v>
      </c>
      <c r="P832" s="34">
        <v>16.0</v>
      </c>
      <c r="Q832" s="34">
        <v>2400.0</v>
      </c>
      <c r="R832" s="34" t="s">
        <v>34</v>
      </c>
      <c r="S832" s="34" t="s">
        <v>1225</v>
      </c>
    </row>
    <row r="833" ht="15.75" customHeight="1">
      <c r="A833" s="33">
        <v>45902.31706773148</v>
      </c>
      <c r="B833" s="34" t="s">
        <v>1085</v>
      </c>
      <c r="C833" s="34" t="s">
        <v>1821</v>
      </c>
      <c r="D833" s="34" t="s">
        <v>1889</v>
      </c>
      <c r="E833" s="34" t="s">
        <v>1890</v>
      </c>
      <c r="F833" s="34">
        <v>1.0</v>
      </c>
      <c r="G833" s="34">
        <v>16.0</v>
      </c>
      <c r="H833" s="34" t="s">
        <v>29</v>
      </c>
      <c r="I833" s="34" t="s">
        <v>40</v>
      </c>
      <c r="J833" s="34" t="s">
        <v>1891</v>
      </c>
      <c r="K833" s="34" t="s">
        <v>1884</v>
      </c>
      <c r="L833" s="34" t="s">
        <v>1885</v>
      </c>
      <c r="M833" s="35" t="s">
        <v>1886</v>
      </c>
      <c r="N833" s="37" t="s">
        <v>1892</v>
      </c>
      <c r="O833" s="34" t="s">
        <v>40</v>
      </c>
      <c r="P833" s="34">
        <v>8.0</v>
      </c>
      <c r="Q833" s="34">
        <v>1600.0</v>
      </c>
      <c r="R833" s="34" t="s">
        <v>1219</v>
      </c>
      <c r="S833" s="34" t="s">
        <v>1225</v>
      </c>
    </row>
    <row r="834" ht="15.75" customHeight="1">
      <c r="A834" s="33">
        <v>45902.38344497685</v>
      </c>
      <c r="B834" s="34" t="s">
        <v>288</v>
      </c>
      <c r="C834" s="34" t="s">
        <v>1821</v>
      </c>
      <c r="D834" s="34" t="s">
        <v>852</v>
      </c>
      <c r="E834" s="34" t="s">
        <v>1812</v>
      </c>
      <c r="F834" s="34">
        <v>1.0</v>
      </c>
      <c r="G834" s="34">
        <v>18.0</v>
      </c>
      <c r="H834" s="34" t="s">
        <v>29</v>
      </c>
      <c r="I834" s="34" t="s">
        <v>40</v>
      </c>
      <c r="J834" s="34" t="s">
        <v>1893</v>
      </c>
      <c r="K834" s="34" t="s">
        <v>1894</v>
      </c>
      <c r="L834" s="34" t="s">
        <v>1379</v>
      </c>
      <c r="M834" s="35" t="s">
        <v>1895</v>
      </c>
      <c r="N834" s="24"/>
      <c r="O834" s="34" t="s">
        <v>126</v>
      </c>
      <c r="P834" s="34">
        <v>16.0</v>
      </c>
      <c r="Q834" s="34">
        <v>3200.0</v>
      </c>
      <c r="R834" s="34" t="s">
        <v>34</v>
      </c>
      <c r="S834" s="34" t="s">
        <v>1220</v>
      </c>
    </row>
    <row r="835" ht="15.75" customHeight="1">
      <c r="A835" s="33">
        <v>45904.69804791667</v>
      </c>
      <c r="B835" s="34" t="s">
        <v>1796</v>
      </c>
      <c r="C835" s="34" t="s">
        <v>1821</v>
      </c>
      <c r="D835" s="34" t="s">
        <v>1186</v>
      </c>
      <c r="E835" s="34" t="s">
        <v>1896</v>
      </c>
      <c r="F835" s="34">
        <v>1.0</v>
      </c>
      <c r="H835" s="34" t="s">
        <v>40</v>
      </c>
      <c r="I835" s="34" t="s">
        <v>40</v>
      </c>
      <c r="J835" s="34" t="s">
        <v>1897</v>
      </c>
      <c r="K835" s="34" t="s">
        <v>1859</v>
      </c>
      <c r="L835" s="34" t="s">
        <v>436</v>
      </c>
      <c r="M835" s="37" t="s">
        <v>210</v>
      </c>
      <c r="N835" s="24"/>
      <c r="O835" s="34" t="s">
        <v>40</v>
      </c>
      <c r="P835" s="34">
        <v>16.0</v>
      </c>
      <c r="Q835" s="34">
        <v>3200.0</v>
      </c>
      <c r="R835" s="34" t="s">
        <v>34</v>
      </c>
      <c r="S835" s="34" t="s">
        <v>1225</v>
      </c>
    </row>
    <row r="836" ht="15.75" customHeight="1">
      <c r="A836" s="33">
        <v>45905.3711397338</v>
      </c>
      <c r="B836" s="34" t="s">
        <v>1898</v>
      </c>
      <c r="C836" s="34" t="s">
        <v>1034</v>
      </c>
      <c r="D836" s="34" t="s">
        <v>1899</v>
      </c>
      <c r="E836" s="34" t="s">
        <v>1900</v>
      </c>
      <c r="F836" s="34">
        <v>2.0</v>
      </c>
      <c r="G836" s="34">
        <v>32.0</v>
      </c>
      <c r="H836" s="34" t="s">
        <v>29</v>
      </c>
      <c r="I836" s="34" t="s">
        <v>40</v>
      </c>
      <c r="J836" s="34" t="s">
        <v>1901</v>
      </c>
      <c r="K836" s="34" t="s">
        <v>1902</v>
      </c>
      <c r="L836" s="34" t="s">
        <v>103</v>
      </c>
      <c r="M836" s="37" t="s">
        <v>418</v>
      </c>
      <c r="N836" s="37" t="s">
        <v>1903</v>
      </c>
      <c r="O836" s="34" t="s">
        <v>29</v>
      </c>
      <c r="P836" s="34">
        <v>16.0</v>
      </c>
      <c r="Q836" s="34">
        <v>2666.0</v>
      </c>
      <c r="R836" s="34" t="s">
        <v>34</v>
      </c>
      <c r="S836" s="34" t="s">
        <v>1217</v>
      </c>
    </row>
    <row r="837" ht="15.75" customHeight="1">
      <c r="A837" s="33">
        <v>45905.534283263885</v>
      </c>
      <c r="B837" s="34" t="s">
        <v>288</v>
      </c>
      <c r="C837" s="34" t="s">
        <v>1821</v>
      </c>
      <c r="D837" s="34" t="s">
        <v>27</v>
      </c>
      <c r="E837" s="34" t="s">
        <v>1014</v>
      </c>
      <c r="F837" s="34">
        <v>1.0</v>
      </c>
      <c r="G837" s="34">
        <v>18.0</v>
      </c>
      <c r="H837" s="34" t="s">
        <v>29</v>
      </c>
      <c r="I837" s="34" t="s">
        <v>40</v>
      </c>
      <c r="K837" s="34" t="s">
        <v>1904</v>
      </c>
      <c r="L837" s="34" t="s">
        <v>585</v>
      </c>
      <c r="M837" s="35" t="s">
        <v>1528</v>
      </c>
      <c r="N837" s="24"/>
      <c r="O837" s="34" t="s">
        <v>40</v>
      </c>
      <c r="P837" s="34">
        <v>16.0</v>
      </c>
      <c r="Q837" s="34">
        <v>3200.0</v>
      </c>
      <c r="R837" s="34" t="s">
        <v>34</v>
      </c>
      <c r="S837" s="34" t="s">
        <v>1225</v>
      </c>
    </row>
    <row r="838" ht="15.75" customHeight="1">
      <c r="A838" s="33">
        <v>45907.49071204861</v>
      </c>
      <c r="B838" s="34" t="s">
        <v>254</v>
      </c>
      <c r="C838" s="34" t="s">
        <v>1821</v>
      </c>
      <c r="D838" s="34" t="s">
        <v>985</v>
      </c>
      <c r="E838" s="34" t="s">
        <v>1905</v>
      </c>
      <c r="F838" s="34">
        <v>2.0</v>
      </c>
      <c r="G838" s="34">
        <v>32.0</v>
      </c>
      <c r="H838" s="34" t="s">
        <v>40</v>
      </c>
      <c r="I838" s="34" t="s">
        <v>40</v>
      </c>
      <c r="J838" s="34" t="s">
        <v>1906</v>
      </c>
      <c r="K838" s="34" t="s">
        <v>1907</v>
      </c>
      <c r="L838" s="34" t="s">
        <v>111</v>
      </c>
      <c r="M838" s="37" t="s">
        <v>210</v>
      </c>
      <c r="N838" s="24"/>
      <c r="O838" s="34" t="s">
        <v>29</v>
      </c>
      <c r="P838" s="34">
        <v>16.0</v>
      </c>
      <c r="Q838" s="34">
        <v>2666.0</v>
      </c>
      <c r="R838" s="34" t="s">
        <v>34</v>
      </c>
      <c r="S838" s="34" t="s">
        <v>1225</v>
      </c>
    </row>
    <row r="839" ht="15.75" customHeight="1">
      <c r="A839" s="33">
        <v>45907.49331899306</v>
      </c>
      <c r="B839" s="34" t="s">
        <v>254</v>
      </c>
      <c r="C839" s="34" t="s">
        <v>1821</v>
      </c>
      <c r="D839" s="34" t="s">
        <v>38</v>
      </c>
      <c r="E839" s="34" t="s">
        <v>1479</v>
      </c>
      <c r="F839" s="34">
        <v>2.0</v>
      </c>
      <c r="G839" s="34">
        <v>64.0</v>
      </c>
      <c r="H839" s="34" t="s">
        <v>29</v>
      </c>
      <c r="I839" s="34" t="s">
        <v>40</v>
      </c>
      <c r="K839" s="34" t="s">
        <v>1907</v>
      </c>
      <c r="L839" s="34" t="s">
        <v>151</v>
      </c>
      <c r="M839" s="37" t="s">
        <v>1908</v>
      </c>
      <c r="N839" s="24"/>
      <c r="O839" s="34" t="s">
        <v>40</v>
      </c>
      <c r="P839" s="34">
        <v>32.0</v>
      </c>
      <c r="Q839" s="34">
        <v>3200.0</v>
      </c>
      <c r="R839" s="34" t="s">
        <v>34</v>
      </c>
      <c r="S839" s="34" t="s">
        <v>1220</v>
      </c>
    </row>
    <row r="840" ht="15.75" customHeight="1">
      <c r="A840" s="33">
        <v>45910.80695265046</v>
      </c>
      <c r="B840" s="34" t="s">
        <v>1796</v>
      </c>
      <c r="C840" s="34" t="s">
        <v>1821</v>
      </c>
      <c r="D840" s="34" t="s">
        <v>1867</v>
      </c>
      <c r="E840" s="34" t="s">
        <v>665</v>
      </c>
      <c r="F840" s="34">
        <v>1.0</v>
      </c>
      <c r="G840" s="34">
        <v>18.0</v>
      </c>
      <c r="H840" s="34" t="s">
        <v>40</v>
      </c>
      <c r="I840" s="34" t="s">
        <v>40</v>
      </c>
      <c r="J840" s="34" t="s">
        <v>1909</v>
      </c>
      <c r="K840" s="34" t="s">
        <v>1859</v>
      </c>
      <c r="L840" s="34" t="s">
        <v>296</v>
      </c>
      <c r="M840" s="37" t="s">
        <v>210</v>
      </c>
      <c r="N840" s="24"/>
      <c r="O840" s="34" t="s">
        <v>40</v>
      </c>
      <c r="P840" s="34">
        <v>16.0</v>
      </c>
      <c r="Q840" s="34">
        <v>3200.0</v>
      </c>
      <c r="R840" s="34" t="s">
        <v>34</v>
      </c>
      <c r="S840" s="34" t="s">
        <v>1225</v>
      </c>
    </row>
    <row r="841" ht="15.75" customHeight="1">
      <c r="A841" s="33">
        <v>45911.18501854167</v>
      </c>
      <c r="B841" s="34" t="s">
        <v>288</v>
      </c>
      <c r="C841" s="34" t="s">
        <v>1144</v>
      </c>
      <c r="D841" s="34" t="s">
        <v>38</v>
      </c>
      <c r="E841" s="34" t="s">
        <v>1910</v>
      </c>
      <c r="F841" s="34">
        <v>1.0</v>
      </c>
      <c r="G841" s="34">
        <v>18.0</v>
      </c>
      <c r="H841" s="34" t="s">
        <v>40</v>
      </c>
      <c r="I841" s="34" t="s">
        <v>40</v>
      </c>
      <c r="J841" s="34" t="s">
        <v>1911</v>
      </c>
      <c r="K841" s="34" t="s">
        <v>1912</v>
      </c>
      <c r="L841" s="34" t="s">
        <v>1913</v>
      </c>
      <c r="M841" s="37" t="s">
        <v>1485</v>
      </c>
      <c r="N841" s="24"/>
      <c r="O841" s="34" t="s">
        <v>126</v>
      </c>
      <c r="P841" s="34">
        <v>16.0</v>
      </c>
      <c r="Q841" s="34">
        <v>3200.0</v>
      </c>
      <c r="R841" s="34" t="s">
        <v>34</v>
      </c>
      <c r="S841" s="34" t="s">
        <v>1225</v>
      </c>
    </row>
    <row r="842" ht="15.75" customHeight="1">
      <c r="A842" s="33">
        <v>45911.40968557871</v>
      </c>
      <c r="B842" s="34" t="s">
        <v>61</v>
      </c>
      <c r="C842" s="34" t="s">
        <v>1914</v>
      </c>
      <c r="D842" s="34" t="s">
        <v>71</v>
      </c>
      <c r="E842" s="34" t="s">
        <v>1481</v>
      </c>
      <c r="F842" s="34">
        <v>2.0</v>
      </c>
      <c r="G842" s="34">
        <v>16.0</v>
      </c>
      <c r="H842" s="34" t="s">
        <v>29</v>
      </c>
      <c r="I842" s="34" t="s">
        <v>40</v>
      </c>
      <c r="K842" s="34" t="s">
        <v>1915</v>
      </c>
      <c r="L842" s="34" t="s">
        <v>111</v>
      </c>
      <c r="M842" s="37" t="s">
        <v>260</v>
      </c>
      <c r="N842" s="24"/>
      <c r="O842" s="34" t="s">
        <v>126</v>
      </c>
      <c r="P842" s="34">
        <v>8.0</v>
      </c>
      <c r="Q842" s="34">
        <v>1600.0</v>
      </c>
      <c r="R842" s="34" t="s">
        <v>1219</v>
      </c>
      <c r="S842" s="34" t="s">
        <v>1220</v>
      </c>
    </row>
    <row r="843" ht="15.75" customHeight="1">
      <c r="A843" s="33">
        <v>45912.375478946764</v>
      </c>
      <c r="B843" s="34" t="s">
        <v>1916</v>
      </c>
      <c r="C843" s="34" t="s">
        <v>1034</v>
      </c>
      <c r="D843" s="34" t="s">
        <v>1899</v>
      </c>
      <c r="E843" s="34" t="s">
        <v>1917</v>
      </c>
      <c r="F843" s="34">
        <v>2.0</v>
      </c>
      <c r="G843" s="34">
        <v>32.0</v>
      </c>
      <c r="H843" s="34" t="s">
        <v>29</v>
      </c>
      <c r="I843" s="34" t="s">
        <v>40</v>
      </c>
      <c r="J843" s="34" t="s">
        <v>1918</v>
      </c>
      <c r="K843" s="34" t="s">
        <v>1919</v>
      </c>
      <c r="L843" s="34" t="s">
        <v>103</v>
      </c>
      <c r="M843" s="37" t="s">
        <v>418</v>
      </c>
      <c r="N843" s="37" t="s">
        <v>1920</v>
      </c>
      <c r="O843" s="34" t="s">
        <v>29</v>
      </c>
      <c r="P843" s="34">
        <v>16.0</v>
      </c>
      <c r="Q843" s="34">
        <v>2666.0</v>
      </c>
      <c r="R843" s="34" t="s">
        <v>34</v>
      </c>
      <c r="S843" s="34" t="s">
        <v>1217</v>
      </c>
    </row>
    <row r="844" ht="15.75" customHeight="1">
      <c r="A844" s="33">
        <v>45912.79911982639</v>
      </c>
      <c r="B844" s="34" t="s">
        <v>95</v>
      </c>
      <c r="C844" s="34" t="s">
        <v>1821</v>
      </c>
      <c r="D844" s="34" t="s">
        <v>71</v>
      </c>
      <c r="E844" s="34" t="s">
        <v>1921</v>
      </c>
      <c r="F844" s="34">
        <v>2.0</v>
      </c>
      <c r="G844" s="34">
        <v>64.0</v>
      </c>
      <c r="H844" s="34" t="s">
        <v>29</v>
      </c>
      <c r="I844" s="34" t="s">
        <v>40</v>
      </c>
      <c r="K844" s="34" t="s">
        <v>1922</v>
      </c>
      <c r="L844" s="34" t="s">
        <v>31</v>
      </c>
      <c r="M844" s="35" t="s">
        <v>225</v>
      </c>
      <c r="N844" s="24"/>
      <c r="O844" s="34" t="s">
        <v>40</v>
      </c>
      <c r="P844" s="34">
        <v>32.0</v>
      </c>
      <c r="Q844" s="34">
        <v>2666.0</v>
      </c>
      <c r="R844" s="34" t="s">
        <v>34</v>
      </c>
      <c r="S844" s="34" t="s">
        <v>1225</v>
      </c>
    </row>
    <row r="845" ht="15.75" customHeight="1">
      <c r="A845" s="33">
        <v>45913.55554077546</v>
      </c>
      <c r="B845" s="34" t="s">
        <v>1923</v>
      </c>
      <c r="C845" s="34" t="s">
        <v>1821</v>
      </c>
      <c r="D845" s="34" t="s">
        <v>101</v>
      </c>
      <c r="E845" s="34" t="s">
        <v>102</v>
      </c>
      <c r="F845" s="34">
        <v>2.0</v>
      </c>
      <c r="G845" s="34">
        <v>32.0</v>
      </c>
      <c r="H845" s="34" t="s">
        <v>29</v>
      </c>
      <c r="I845" s="34" t="s">
        <v>40</v>
      </c>
      <c r="K845" s="34" t="s">
        <v>1924</v>
      </c>
      <c r="M845" s="24"/>
      <c r="N845" s="24"/>
      <c r="O845" s="34" t="s">
        <v>29</v>
      </c>
      <c r="P845" s="34">
        <v>16.0</v>
      </c>
      <c r="Q845" s="34">
        <v>3200.0</v>
      </c>
      <c r="R845" s="34" t="s">
        <v>34</v>
      </c>
      <c r="S845" s="34" t="s">
        <v>1220</v>
      </c>
    </row>
    <row r="846" ht="15.75" customHeight="1">
      <c r="A846" s="33">
        <v>45915.87181503473</v>
      </c>
      <c r="B846" s="34" t="s">
        <v>1923</v>
      </c>
      <c r="C846" s="34" t="s">
        <v>1821</v>
      </c>
      <c r="D846" s="34" t="s">
        <v>27</v>
      </c>
      <c r="E846" s="34" t="s">
        <v>1312</v>
      </c>
      <c r="F846" s="34">
        <v>1.0</v>
      </c>
      <c r="G846" s="34">
        <v>24.0</v>
      </c>
      <c r="H846" s="34" t="s">
        <v>29</v>
      </c>
      <c r="I846" s="34" t="s">
        <v>40</v>
      </c>
      <c r="J846" s="34" t="s">
        <v>1925</v>
      </c>
      <c r="K846" s="34" t="s">
        <v>1926</v>
      </c>
      <c r="L846" s="34" t="s">
        <v>140</v>
      </c>
      <c r="M846" s="35" t="s">
        <v>1927</v>
      </c>
      <c r="N846" s="24"/>
      <c r="O846" s="34" t="s">
        <v>40</v>
      </c>
      <c r="P846" s="34">
        <v>16.0</v>
      </c>
      <c r="Q846" s="34">
        <v>3200.0</v>
      </c>
      <c r="R846" s="34" t="s">
        <v>34</v>
      </c>
      <c r="S846" s="34" t="s">
        <v>1217</v>
      </c>
    </row>
    <row r="847" ht="15.75" customHeight="1">
      <c r="A847" s="33">
        <v>45917.629992800925</v>
      </c>
      <c r="B847" s="34" t="s">
        <v>138</v>
      </c>
      <c r="C847" s="34" t="s">
        <v>1821</v>
      </c>
      <c r="D847" s="34" t="s">
        <v>38</v>
      </c>
      <c r="E847" s="34" t="s">
        <v>1928</v>
      </c>
      <c r="F847" s="34">
        <v>2.0</v>
      </c>
      <c r="G847" s="34">
        <v>32.0</v>
      </c>
      <c r="H847" s="34" t="s">
        <v>29</v>
      </c>
      <c r="I847" s="34" t="s">
        <v>40</v>
      </c>
      <c r="K847" s="34" t="s">
        <v>1929</v>
      </c>
      <c r="L847" s="34" t="s">
        <v>835</v>
      </c>
      <c r="M847" s="37" t="s">
        <v>1930</v>
      </c>
      <c r="N847" s="24"/>
      <c r="O847" s="34" t="s">
        <v>40</v>
      </c>
      <c r="P847" s="34">
        <v>16.0</v>
      </c>
      <c r="Q847" s="34">
        <v>3200.0</v>
      </c>
      <c r="R847" s="34" t="s">
        <v>34</v>
      </c>
      <c r="S847" s="34" t="s">
        <v>1217</v>
      </c>
    </row>
    <row r="848" ht="15.75" customHeight="1">
      <c r="A848" s="33">
        <v>45918.79025701389</v>
      </c>
      <c r="B848" s="34" t="s">
        <v>1796</v>
      </c>
      <c r="C848" s="34" t="s">
        <v>1881</v>
      </c>
      <c r="D848" s="34" t="s">
        <v>1404</v>
      </c>
      <c r="E848" s="34" t="s">
        <v>157</v>
      </c>
      <c r="F848" s="34">
        <v>1.0</v>
      </c>
      <c r="H848" s="34" t="s">
        <v>40</v>
      </c>
      <c r="I848" s="34" t="s">
        <v>40</v>
      </c>
      <c r="J848" s="34" t="s">
        <v>1931</v>
      </c>
      <c r="K848" s="34" t="s">
        <v>1859</v>
      </c>
      <c r="L848" s="34" t="s">
        <v>296</v>
      </c>
      <c r="M848" s="35" t="s">
        <v>1932</v>
      </c>
      <c r="N848" s="24"/>
      <c r="O848" s="34" t="s">
        <v>40</v>
      </c>
      <c r="P848" s="34">
        <v>16.0</v>
      </c>
      <c r="Q848" s="34">
        <v>2666.0</v>
      </c>
      <c r="R848" s="34" t="s">
        <v>34</v>
      </c>
      <c r="S848" s="34" t="s">
        <v>1225</v>
      </c>
    </row>
    <row r="849" ht="15.75" customHeight="1">
      <c r="A849" s="33">
        <v>45924.801832488425</v>
      </c>
      <c r="B849" s="34" t="s">
        <v>1796</v>
      </c>
      <c r="C849" s="34" t="s">
        <v>1821</v>
      </c>
      <c r="D849" s="34" t="s">
        <v>71</v>
      </c>
      <c r="E849" s="34" t="s">
        <v>1933</v>
      </c>
      <c r="F849" s="34">
        <v>1.0</v>
      </c>
      <c r="G849" s="34">
        <v>10.0</v>
      </c>
      <c r="H849" s="34" t="s">
        <v>40</v>
      </c>
      <c r="I849" s="34" t="s">
        <v>40</v>
      </c>
      <c r="K849" s="34" t="s">
        <v>1859</v>
      </c>
      <c r="L849" s="34" t="s">
        <v>296</v>
      </c>
      <c r="M849" s="35" t="s">
        <v>1934</v>
      </c>
      <c r="N849" s="24"/>
      <c r="O849" s="34" t="s">
        <v>40</v>
      </c>
      <c r="P849" s="34">
        <v>8.0</v>
      </c>
      <c r="Q849" s="34">
        <v>2666.0</v>
      </c>
      <c r="R849" s="34" t="s">
        <v>34</v>
      </c>
      <c r="S849" s="34" t="s">
        <v>1217</v>
      </c>
    </row>
    <row r="850" ht="15.75" customHeight="1">
      <c r="A850" s="33">
        <v>45930.23936475694</v>
      </c>
      <c r="B850" s="34" t="s">
        <v>288</v>
      </c>
      <c r="C850" s="34" t="s">
        <v>1821</v>
      </c>
      <c r="D850" s="34" t="s">
        <v>38</v>
      </c>
      <c r="E850" s="34" t="s">
        <v>153</v>
      </c>
      <c r="F850" s="34">
        <v>1.0</v>
      </c>
      <c r="G850" s="34">
        <v>10.0</v>
      </c>
      <c r="H850" s="34" t="s">
        <v>29</v>
      </c>
      <c r="I850" s="34" t="s">
        <v>40</v>
      </c>
      <c r="K850" s="34" t="s">
        <v>1935</v>
      </c>
      <c r="L850" s="34" t="s">
        <v>585</v>
      </c>
      <c r="M850" s="35" t="s">
        <v>1936</v>
      </c>
      <c r="N850" s="24"/>
      <c r="O850" s="34" t="s">
        <v>40</v>
      </c>
      <c r="P850" s="34">
        <v>8.0</v>
      </c>
      <c r="Q850" s="34">
        <v>3200.0</v>
      </c>
      <c r="R850" s="34" t="s">
        <v>34</v>
      </c>
      <c r="S850" s="34" t="s">
        <v>1220</v>
      </c>
    </row>
    <row r="851" ht="15.75" customHeight="1">
      <c r="A851" s="33">
        <v>45930.432387037035</v>
      </c>
      <c r="B851" s="34" t="s">
        <v>138</v>
      </c>
      <c r="C851" s="34" t="s">
        <v>1821</v>
      </c>
      <c r="D851" s="34" t="s">
        <v>38</v>
      </c>
      <c r="E851" s="34" t="s">
        <v>389</v>
      </c>
      <c r="F851" s="34">
        <v>2.0</v>
      </c>
      <c r="G851" s="34">
        <v>32.0</v>
      </c>
      <c r="H851" s="34" t="s">
        <v>29</v>
      </c>
      <c r="I851" s="34" t="s">
        <v>40</v>
      </c>
      <c r="K851" s="34" t="s">
        <v>1937</v>
      </c>
      <c r="L851" s="34" t="s">
        <v>420</v>
      </c>
      <c r="M851" s="35" t="s">
        <v>421</v>
      </c>
      <c r="N851" s="24"/>
      <c r="O851" s="34" t="s">
        <v>40</v>
      </c>
      <c r="P851" s="34">
        <v>16.0</v>
      </c>
      <c r="Q851" s="34">
        <v>3200.0</v>
      </c>
      <c r="R851" s="34" t="s">
        <v>34</v>
      </c>
      <c r="S851" s="34" t="s">
        <v>1220</v>
      </c>
    </row>
    <row r="852" ht="15.75" customHeight="1">
      <c r="A852" s="33">
        <v>45931.08098315972</v>
      </c>
      <c r="B852" s="34" t="s">
        <v>1351</v>
      </c>
      <c r="C852" s="34" t="s">
        <v>391</v>
      </c>
      <c r="D852" s="34" t="s">
        <v>1352</v>
      </c>
      <c r="E852" s="34" t="s">
        <v>634</v>
      </c>
      <c r="F852" s="34">
        <v>1.0</v>
      </c>
      <c r="G852" s="34">
        <v>8.0</v>
      </c>
      <c r="H852" s="34" t="s">
        <v>29</v>
      </c>
      <c r="K852" s="34" t="s">
        <v>1354</v>
      </c>
      <c r="L852" s="34" t="s">
        <v>186</v>
      </c>
      <c r="M852" s="35" t="s">
        <v>1938</v>
      </c>
      <c r="N852" s="24"/>
      <c r="O852" s="34" t="s">
        <v>40</v>
      </c>
      <c r="P852" s="34">
        <v>8.0</v>
      </c>
      <c r="Q852" s="34">
        <v>1600.0</v>
      </c>
      <c r="R852" s="34" t="s">
        <v>1219</v>
      </c>
      <c r="S852" s="34" t="s">
        <v>1225</v>
      </c>
    </row>
    <row r="853" ht="15.75" customHeight="1">
      <c r="A853" s="33">
        <v>45931.821530138885</v>
      </c>
      <c r="B853" s="34" t="s">
        <v>1796</v>
      </c>
      <c r="C853" s="34" t="s">
        <v>1821</v>
      </c>
      <c r="D853" s="34" t="s">
        <v>565</v>
      </c>
      <c r="E853" s="34" t="s">
        <v>1939</v>
      </c>
      <c r="F853" s="34">
        <v>1.0</v>
      </c>
      <c r="G853" s="34">
        <v>18.0</v>
      </c>
      <c r="H853" s="34" t="s">
        <v>40</v>
      </c>
      <c r="I853" s="34" t="s">
        <v>40</v>
      </c>
      <c r="K853" s="34" t="s">
        <v>1859</v>
      </c>
      <c r="L853" s="34" t="s">
        <v>296</v>
      </c>
      <c r="M853" s="35" t="s">
        <v>1934</v>
      </c>
      <c r="N853" s="24"/>
      <c r="O853" s="34" t="s">
        <v>40</v>
      </c>
      <c r="P853" s="34">
        <v>16.0</v>
      </c>
      <c r="Q853" s="34">
        <v>2666.0</v>
      </c>
      <c r="R853" s="34" t="s">
        <v>34</v>
      </c>
      <c r="S853" s="34" t="s">
        <v>1225</v>
      </c>
    </row>
    <row r="854" ht="15.75" customHeight="1">
      <c r="A854" s="33">
        <v>45932.57765521991</v>
      </c>
      <c r="B854" s="34" t="s">
        <v>1796</v>
      </c>
      <c r="C854" s="34" t="s">
        <v>1821</v>
      </c>
      <c r="D854" s="34" t="s">
        <v>27</v>
      </c>
      <c r="E854" s="34" t="s">
        <v>1014</v>
      </c>
      <c r="F854" s="34">
        <v>1.0</v>
      </c>
      <c r="G854" s="34">
        <v>18.0</v>
      </c>
      <c r="H854" s="34" t="s">
        <v>29</v>
      </c>
      <c r="I854" s="34" t="s">
        <v>40</v>
      </c>
      <c r="K854" s="34" t="s">
        <v>1940</v>
      </c>
      <c r="L854" s="34" t="s">
        <v>1502</v>
      </c>
      <c r="M854" s="35" t="s">
        <v>1941</v>
      </c>
      <c r="N854" s="24"/>
      <c r="O854" s="34" t="s">
        <v>40</v>
      </c>
      <c r="P854" s="34">
        <v>16.0</v>
      </c>
      <c r="Q854" s="34">
        <v>3200.0</v>
      </c>
      <c r="R854" s="34" t="s">
        <v>34</v>
      </c>
      <c r="S854" s="34" t="s">
        <v>1220</v>
      </c>
    </row>
    <row r="855" ht="15.75" customHeight="1">
      <c r="A855" s="33">
        <v>45934.01284899305</v>
      </c>
      <c r="B855" s="34" t="s">
        <v>124</v>
      </c>
      <c r="C855" s="34" t="s">
        <v>1336</v>
      </c>
      <c r="D855" s="34" t="s">
        <v>119</v>
      </c>
      <c r="E855" s="34" t="s">
        <v>1942</v>
      </c>
      <c r="F855" s="34">
        <v>1.0</v>
      </c>
      <c r="H855" s="34" t="s">
        <v>40</v>
      </c>
      <c r="I855" s="34" t="s">
        <v>40</v>
      </c>
      <c r="K855" s="34" t="s">
        <v>1299</v>
      </c>
      <c r="L855" s="34" t="s">
        <v>111</v>
      </c>
      <c r="M855" s="37" t="s">
        <v>956</v>
      </c>
      <c r="N855" s="24"/>
      <c r="O855" s="34" t="s">
        <v>40</v>
      </c>
      <c r="P855" s="34">
        <v>8.0</v>
      </c>
      <c r="Q855" s="34">
        <v>2400.0</v>
      </c>
      <c r="R855" s="34" t="s">
        <v>34</v>
      </c>
      <c r="S855" s="34" t="s">
        <v>1217</v>
      </c>
    </row>
    <row r="856" ht="15.75" customHeight="1">
      <c r="A856" s="33">
        <v>45937.865661828706</v>
      </c>
      <c r="B856" s="34" t="s">
        <v>1796</v>
      </c>
      <c r="C856" s="34" t="s">
        <v>1821</v>
      </c>
      <c r="D856" s="34" t="s">
        <v>1404</v>
      </c>
      <c r="E856" s="34" t="s">
        <v>1014</v>
      </c>
      <c r="F856" s="34">
        <v>1.0</v>
      </c>
      <c r="G856" s="34">
        <v>18.0</v>
      </c>
      <c r="H856" s="34" t="s">
        <v>40</v>
      </c>
      <c r="I856" s="34" t="s">
        <v>40</v>
      </c>
      <c r="K856" s="34" t="s">
        <v>1859</v>
      </c>
      <c r="L856" s="34" t="s">
        <v>296</v>
      </c>
      <c r="M856" s="35" t="s">
        <v>1934</v>
      </c>
      <c r="N856" s="24"/>
      <c r="O856" s="34" t="s">
        <v>40</v>
      </c>
      <c r="P856" s="34">
        <v>16.0</v>
      </c>
      <c r="Q856" s="34">
        <v>3200.0</v>
      </c>
      <c r="R856" s="34" t="s">
        <v>34</v>
      </c>
      <c r="S856" s="34" t="s">
        <v>1225</v>
      </c>
    </row>
    <row r="857" ht="15.75" customHeight="1">
      <c r="A857" s="33">
        <v>45938.49465692129</v>
      </c>
      <c r="B857" s="34" t="s">
        <v>1943</v>
      </c>
      <c r="C857" s="34" t="s">
        <v>1944</v>
      </c>
      <c r="D857" s="34" t="s">
        <v>1945</v>
      </c>
      <c r="E857" s="34" t="s">
        <v>114</v>
      </c>
      <c r="F857" s="34">
        <v>2.0</v>
      </c>
      <c r="G857" s="34">
        <v>64.0</v>
      </c>
      <c r="H857" s="34" t="s">
        <v>29</v>
      </c>
      <c r="I857" s="34" t="s">
        <v>40</v>
      </c>
      <c r="J857" s="34" t="s">
        <v>1946</v>
      </c>
      <c r="K857" s="34" t="s">
        <v>1947</v>
      </c>
      <c r="L857" s="34" t="s">
        <v>103</v>
      </c>
      <c r="M857" s="35" t="s">
        <v>1948</v>
      </c>
      <c r="N857" s="24"/>
      <c r="O857" s="34" t="s">
        <v>40</v>
      </c>
      <c r="P857" s="34">
        <v>32.0</v>
      </c>
      <c r="Q857" s="34">
        <v>3200.0</v>
      </c>
      <c r="R857" s="34" t="s">
        <v>34</v>
      </c>
      <c r="S857" s="34" t="s">
        <v>1225</v>
      </c>
    </row>
    <row r="858" ht="15.75" customHeight="1">
      <c r="A858" s="33">
        <v>45938.62239402778</v>
      </c>
      <c r="B858" s="34" t="s">
        <v>138</v>
      </c>
      <c r="C858" s="34" t="s">
        <v>1821</v>
      </c>
      <c r="D858" s="34" t="s">
        <v>71</v>
      </c>
      <c r="E858" s="34" t="s">
        <v>1318</v>
      </c>
      <c r="F858" s="34">
        <v>2.0</v>
      </c>
      <c r="G858" s="34">
        <v>32.0</v>
      </c>
      <c r="H858" s="34" t="s">
        <v>29</v>
      </c>
      <c r="I858" s="34" t="s">
        <v>40</v>
      </c>
      <c r="K858" s="34" t="s">
        <v>1949</v>
      </c>
      <c r="L858" s="34" t="s">
        <v>1950</v>
      </c>
      <c r="M858" s="35" t="s">
        <v>487</v>
      </c>
      <c r="N858" s="37" t="s">
        <v>1737</v>
      </c>
      <c r="O858" s="34" t="s">
        <v>29</v>
      </c>
      <c r="P858" s="34">
        <v>16.0</v>
      </c>
      <c r="Q858" s="34">
        <v>2666.0</v>
      </c>
      <c r="R858" s="34" t="s">
        <v>34</v>
      </c>
      <c r="S858" s="34" t="s">
        <v>1225</v>
      </c>
    </row>
    <row r="859" ht="15.75" customHeight="1">
      <c r="A859" s="33">
        <v>45939.84426721065</v>
      </c>
      <c r="B859" s="34" t="s">
        <v>2</v>
      </c>
      <c r="C859" s="34" t="s">
        <v>1951</v>
      </c>
      <c r="D859" s="34" t="s">
        <v>1952</v>
      </c>
      <c r="E859" s="34" t="s">
        <v>1953</v>
      </c>
      <c r="F859" s="34">
        <v>2.0</v>
      </c>
      <c r="G859" s="34">
        <v>32.0</v>
      </c>
      <c r="H859" s="34" t="s">
        <v>29</v>
      </c>
      <c r="I859" s="34" t="s">
        <v>40</v>
      </c>
      <c r="K859" s="34" t="s">
        <v>1954</v>
      </c>
      <c r="L859" s="34" t="s">
        <v>611</v>
      </c>
      <c r="M859" s="35" t="s">
        <v>1544</v>
      </c>
      <c r="N859" s="24"/>
      <c r="O859" s="34" t="s">
        <v>29</v>
      </c>
      <c r="P859" s="34">
        <v>16.0</v>
      </c>
      <c r="Q859" s="34">
        <v>3200.0</v>
      </c>
      <c r="R859" s="34" t="s">
        <v>34</v>
      </c>
      <c r="S859" s="34" t="s">
        <v>1220</v>
      </c>
    </row>
    <row r="860" ht="15.75" customHeight="1">
      <c r="A860" s="33">
        <v>45942.09102270834</v>
      </c>
      <c r="B860" s="34" t="s">
        <v>36</v>
      </c>
      <c r="C860" s="34" t="s">
        <v>1951</v>
      </c>
      <c r="D860" s="34" t="s">
        <v>89</v>
      </c>
      <c r="E860" s="34" t="s">
        <v>1955</v>
      </c>
      <c r="F860" s="34">
        <v>1.0</v>
      </c>
      <c r="G860" s="34">
        <v>8.0</v>
      </c>
      <c r="H860" s="34" t="s">
        <v>29</v>
      </c>
      <c r="I860" s="34" t="s">
        <v>40</v>
      </c>
      <c r="K860" s="34" t="s">
        <v>1956</v>
      </c>
      <c r="L860" s="34" t="s">
        <v>111</v>
      </c>
      <c r="M860" s="24"/>
      <c r="N860" s="24"/>
      <c r="O860" s="34" t="s">
        <v>40</v>
      </c>
      <c r="P860" s="34">
        <v>4.0</v>
      </c>
      <c r="Q860" s="34">
        <v>2666.0</v>
      </c>
      <c r="R860" s="34" t="s">
        <v>34</v>
      </c>
      <c r="S860" s="34" t="s">
        <v>1217</v>
      </c>
    </row>
    <row r="861" ht="15.75" customHeight="1">
      <c r="A861" s="33">
        <v>45942.13394694444</v>
      </c>
      <c r="B861" s="34" t="s">
        <v>36</v>
      </c>
      <c r="C861" s="34" t="s">
        <v>1951</v>
      </c>
      <c r="D861" s="34" t="s">
        <v>119</v>
      </c>
      <c r="E861" s="34" t="s">
        <v>321</v>
      </c>
      <c r="F861" s="34">
        <v>1.0</v>
      </c>
      <c r="G861" s="34">
        <v>8.0</v>
      </c>
      <c r="H861" s="34" t="s">
        <v>29</v>
      </c>
      <c r="I861" s="34" t="s">
        <v>40</v>
      </c>
      <c r="K861" s="34" t="s">
        <v>1956</v>
      </c>
      <c r="L861" s="34" t="s">
        <v>111</v>
      </c>
      <c r="M861" s="24"/>
      <c r="N861" s="24"/>
      <c r="O861" s="34" t="s">
        <v>40</v>
      </c>
      <c r="P861" s="34">
        <v>4.0</v>
      </c>
      <c r="Q861" s="34">
        <v>2666.0</v>
      </c>
      <c r="R861" s="34" t="s">
        <v>34</v>
      </c>
      <c r="S861" s="34" t="s">
        <v>1217</v>
      </c>
    </row>
    <row r="862" ht="15.75" customHeight="1">
      <c r="A862" s="33">
        <v>45942.9011837963</v>
      </c>
      <c r="B862" s="34" t="s">
        <v>169</v>
      </c>
      <c r="C862" s="34" t="s">
        <v>1821</v>
      </c>
      <c r="D862" s="34" t="s">
        <v>119</v>
      </c>
      <c r="E862" s="34" t="s">
        <v>120</v>
      </c>
      <c r="F862" s="34">
        <v>2.0</v>
      </c>
      <c r="G862" s="34">
        <v>16.0</v>
      </c>
      <c r="H862" s="34" t="s">
        <v>29</v>
      </c>
      <c r="I862" s="34" t="s">
        <v>40</v>
      </c>
      <c r="K862" s="41" t="s">
        <v>1957</v>
      </c>
      <c r="L862" s="34" t="s">
        <v>111</v>
      </c>
      <c r="M862" s="37" t="s">
        <v>1958</v>
      </c>
      <c r="N862" s="24"/>
      <c r="O862" s="34" t="s">
        <v>40</v>
      </c>
      <c r="P862" s="34">
        <v>8.0</v>
      </c>
      <c r="Q862" s="34">
        <v>2666.0</v>
      </c>
      <c r="R862" s="34" t="s">
        <v>34</v>
      </c>
      <c r="S862" s="34" t="s">
        <v>1217</v>
      </c>
    </row>
    <row r="863" ht="15.75" customHeight="1">
      <c r="A863" s="33">
        <v>45943.55730905093</v>
      </c>
      <c r="B863" s="34" t="s">
        <v>465</v>
      </c>
      <c r="C863" s="34" t="s">
        <v>1821</v>
      </c>
      <c r="D863" s="34" t="s">
        <v>1959</v>
      </c>
      <c r="E863" s="34" t="s">
        <v>1960</v>
      </c>
      <c r="F863" s="34">
        <v>1.0</v>
      </c>
      <c r="G863" s="34">
        <v>18.0</v>
      </c>
      <c r="H863" s="34" t="s">
        <v>29</v>
      </c>
      <c r="I863" s="34" t="s">
        <v>40</v>
      </c>
      <c r="K863" s="34" t="s">
        <v>1961</v>
      </c>
      <c r="L863" s="34" t="s">
        <v>186</v>
      </c>
      <c r="M863" s="35" t="s">
        <v>399</v>
      </c>
      <c r="N863" s="37" t="s">
        <v>1962</v>
      </c>
      <c r="O863" s="34" t="s">
        <v>126</v>
      </c>
      <c r="P863" s="34">
        <v>16.0</v>
      </c>
      <c r="Q863" s="34">
        <v>2666.0</v>
      </c>
      <c r="R863" s="34" t="s">
        <v>34</v>
      </c>
      <c r="S863" s="34" t="s">
        <v>1225</v>
      </c>
    </row>
    <row r="864" ht="15.75" customHeight="1">
      <c r="A864" s="33">
        <v>45946.82732105324</v>
      </c>
      <c r="B864" s="34" t="s">
        <v>1796</v>
      </c>
      <c r="C864" s="34" t="s">
        <v>1963</v>
      </c>
      <c r="D864" s="34" t="s">
        <v>1964</v>
      </c>
      <c r="E864" s="34" t="s">
        <v>1965</v>
      </c>
      <c r="F864" s="34">
        <v>1.0</v>
      </c>
      <c r="G864" s="34">
        <v>18.0</v>
      </c>
      <c r="H864" s="34" t="s">
        <v>40</v>
      </c>
      <c r="I864" s="34" t="s">
        <v>40</v>
      </c>
      <c r="J864" s="34" t="s">
        <v>1966</v>
      </c>
      <c r="K864" s="34" t="s">
        <v>1967</v>
      </c>
      <c r="M864" s="24"/>
      <c r="N864" s="24"/>
      <c r="P864" s="34">
        <v>16.0</v>
      </c>
      <c r="Q864" s="34">
        <v>2666.0</v>
      </c>
      <c r="R864" s="34" t="s">
        <v>34</v>
      </c>
      <c r="S864" s="34" t="s">
        <v>1220</v>
      </c>
    </row>
    <row r="865" ht="15.75" customHeight="1">
      <c r="A865" s="33">
        <v>45946.84161033564</v>
      </c>
      <c r="B865" s="34" t="s">
        <v>465</v>
      </c>
      <c r="C865" s="34" t="s">
        <v>1963</v>
      </c>
      <c r="D865" s="34" t="s">
        <v>976</v>
      </c>
      <c r="E865" s="34" t="s">
        <v>977</v>
      </c>
      <c r="F865" s="34">
        <v>1.0</v>
      </c>
      <c r="G865" s="34">
        <v>10.0</v>
      </c>
      <c r="H865" s="34" t="s">
        <v>29</v>
      </c>
      <c r="I865" s="34" t="s">
        <v>40</v>
      </c>
      <c r="K865" s="34" t="s">
        <v>1968</v>
      </c>
      <c r="L865" s="34" t="s">
        <v>585</v>
      </c>
      <c r="M865" s="35" t="s">
        <v>1936</v>
      </c>
      <c r="N865" s="24"/>
      <c r="O865" s="34" t="s">
        <v>126</v>
      </c>
      <c r="P865" s="34">
        <v>8.0</v>
      </c>
      <c r="Q865" s="34">
        <v>2666.0</v>
      </c>
      <c r="R865" s="34" t="s">
        <v>34</v>
      </c>
      <c r="S865" s="34" t="s">
        <v>1220</v>
      </c>
    </row>
    <row r="866" ht="15.75" customHeight="1">
      <c r="A866" s="33">
        <v>45947.70938221065</v>
      </c>
      <c r="B866" s="34" t="s">
        <v>1796</v>
      </c>
      <c r="C866" s="34">
        <v>7.3</v>
      </c>
      <c r="D866" s="34" t="s">
        <v>1082</v>
      </c>
      <c r="E866" s="34" t="s">
        <v>1969</v>
      </c>
      <c r="F866" s="34">
        <v>1.0</v>
      </c>
      <c r="G866" s="34">
        <v>10.0</v>
      </c>
      <c r="H866" s="34" t="s">
        <v>40</v>
      </c>
      <c r="I866" s="34" t="s">
        <v>40</v>
      </c>
      <c r="K866" s="34" t="s">
        <v>1859</v>
      </c>
      <c r="L866" s="34" t="s">
        <v>296</v>
      </c>
      <c r="M866" s="37" t="s">
        <v>210</v>
      </c>
      <c r="N866" s="24"/>
      <c r="O866" s="34" t="s">
        <v>40</v>
      </c>
      <c r="P866" s="34">
        <v>8.0</v>
      </c>
      <c r="Q866" s="34">
        <v>3200.0</v>
      </c>
      <c r="R866" s="34" t="s">
        <v>34</v>
      </c>
      <c r="S866" s="34" t="s">
        <v>1217</v>
      </c>
    </row>
    <row r="867" ht="15.75" customHeight="1">
      <c r="A867" s="33">
        <v>45947.79298885417</v>
      </c>
      <c r="B867" s="34" t="s">
        <v>465</v>
      </c>
      <c r="C867" s="34" t="s">
        <v>1821</v>
      </c>
      <c r="D867" s="34" t="s">
        <v>119</v>
      </c>
      <c r="E867" s="34" t="s">
        <v>812</v>
      </c>
      <c r="H867" s="34" t="s">
        <v>40</v>
      </c>
      <c r="K867" s="34" t="s">
        <v>1970</v>
      </c>
      <c r="L867" s="34" t="s">
        <v>611</v>
      </c>
      <c r="M867" s="37" t="s">
        <v>1454</v>
      </c>
      <c r="N867" s="24"/>
      <c r="O867" s="34" t="s">
        <v>126</v>
      </c>
      <c r="P867" s="34">
        <v>16.0</v>
      </c>
      <c r="Q867" s="34">
        <v>2666.0</v>
      </c>
      <c r="R867" s="34" t="s">
        <v>34</v>
      </c>
      <c r="S867" s="34" t="s">
        <v>1225</v>
      </c>
    </row>
    <row r="868" ht="15.75" customHeight="1">
      <c r="A868" s="33">
        <v>45948.13724277778</v>
      </c>
      <c r="B868" s="34" t="s">
        <v>1796</v>
      </c>
      <c r="C868" s="34" t="s">
        <v>1963</v>
      </c>
      <c r="D868" s="34" t="s">
        <v>922</v>
      </c>
      <c r="E868" s="34" t="s">
        <v>1971</v>
      </c>
      <c r="F868" s="34">
        <v>1.0</v>
      </c>
      <c r="G868" s="34">
        <v>10.0</v>
      </c>
      <c r="H868" s="34" t="s">
        <v>29</v>
      </c>
      <c r="I868" s="34" t="s">
        <v>40</v>
      </c>
      <c r="K868" s="34" t="s">
        <v>1972</v>
      </c>
      <c r="L868" s="34" t="s">
        <v>1211</v>
      </c>
      <c r="M868" s="35" t="s">
        <v>1973</v>
      </c>
      <c r="N868" s="24"/>
      <c r="O868" s="34" t="s">
        <v>40</v>
      </c>
      <c r="P868" s="34">
        <v>8.0</v>
      </c>
      <c r="Q868" s="34">
        <v>3200.0</v>
      </c>
      <c r="R868" s="34" t="s">
        <v>34</v>
      </c>
      <c r="S868" s="34" t="s">
        <v>1220</v>
      </c>
    </row>
    <row r="869" ht="15.75" customHeight="1">
      <c r="A869" s="33">
        <v>45950.371296446756</v>
      </c>
      <c r="B869" s="34" t="s">
        <v>82</v>
      </c>
      <c r="C869" s="34" t="s">
        <v>1144</v>
      </c>
      <c r="D869" s="34" t="s">
        <v>1974</v>
      </c>
      <c r="E869" s="34" t="s">
        <v>1975</v>
      </c>
      <c r="F869" s="34">
        <v>2.0</v>
      </c>
      <c r="G869" s="34">
        <v>16.0</v>
      </c>
      <c r="H869" s="34" t="s">
        <v>40</v>
      </c>
      <c r="J869" s="34" t="s">
        <v>1976</v>
      </c>
      <c r="K869" s="34" t="s">
        <v>1977</v>
      </c>
      <c r="L869" s="34" t="s">
        <v>611</v>
      </c>
      <c r="M869" s="37" t="s">
        <v>612</v>
      </c>
      <c r="N869" s="24"/>
      <c r="O869" s="34" t="s">
        <v>40</v>
      </c>
      <c r="P869" s="34">
        <v>8.0</v>
      </c>
      <c r="Q869" s="34">
        <v>1866.0</v>
      </c>
      <c r="R869" s="34" t="s">
        <v>1219</v>
      </c>
      <c r="S869" s="34" t="s">
        <v>1225</v>
      </c>
    </row>
    <row r="870" ht="15.75" customHeight="1">
      <c r="A870" s="33">
        <v>45951.49389533565</v>
      </c>
      <c r="B870" s="34" t="s">
        <v>465</v>
      </c>
      <c r="C870" s="34" t="s">
        <v>1821</v>
      </c>
      <c r="D870" s="34" t="s">
        <v>107</v>
      </c>
      <c r="E870" s="34" t="s">
        <v>1978</v>
      </c>
      <c r="F870" s="34">
        <v>1.0</v>
      </c>
      <c r="G870" s="34">
        <v>10.0</v>
      </c>
      <c r="H870" s="34" t="s">
        <v>29</v>
      </c>
      <c r="I870" s="34" t="s">
        <v>40</v>
      </c>
      <c r="K870" s="34" t="s">
        <v>1979</v>
      </c>
      <c r="L870" s="34" t="s">
        <v>1980</v>
      </c>
      <c r="M870" s="35" t="s">
        <v>1604</v>
      </c>
      <c r="N870" s="24"/>
      <c r="O870" s="34" t="s">
        <v>40</v>
      </c>
      <c r="P870" s="34">
        <v>8.0</v>
      </c>
      <c r="Q870" s="34">
        <v>2400.0</v>
      </c>
      <c r="R870" s="34" t="s">
        <v>34</v>
      </c>
      <c r="S870" s="34" t="s">
        <v>1217</v>
      </c>
    </row>
    <row r="871" ht="15.75" customHeight="1">
      <c r="A871" s="33">
        <v>45951.89976693287</v>
      </c>
      <c r="B871" s="34" t="s">
        <v>1981</v>
      </c>
      <c r="C871" s="34" t="s">
        <v>1821</v>
      </c>
      <c r="D871" s="34" t="s">
        <v>27</v>
      </c>
      <c r="E871" s="34" t="s">
        <v>329</v>
      </c>
      <c r="F871" s="34">
        <v>1.0</v>
      </c>
      <c r="G871" s="34">
        <v>10.0</v>
      </c>
      <c r="H871" s="34" t="s">
        <v>29</v>
      </c>
      <c r="I871" s="34" t="s">
        <v>40</v>
      </c>
      <c r="J871" s="34" t="s">
        <v>1982</v>
      </c>
      <c r="K871" s="34" t="s">
        <v>1983</v>
      </c>
      <c r="M871" s="35" t="s">
        <v>1984</v>
      </c>
      <c r="N871" s="24"/>
      <c r="O871" s="34" t="s">
        <v>40</v>
      </c>
      <c r="P871" s="34">
        <v>8.0</v>
      </c>
      <c r="Q871" s="34">
        <v>2666.0</v>
      </c>
      <c r="R871" s="34" t="s">
        <v>34</v>
      </c>
      <c r="S871" s="34" t="s">
        <v>1217</v>
      </c>
    </row>
    <row r="872" ht="15.75" customHeight="1">
      <c r="A872" s="33">
        <v>45952.41388917824</v>
      </c>
      <c r="B872" s="34" t="s">
        <v>1796</v>
      </c>
      <c r="C872" s="34" t="s">
        <v>1963</v>
      </c>
      <c r="D872" s="34" t="s">
        <v>922</v>
      </c>
      <c r="E872" s="34" t="s">
        <v>923</v>
      </c>
      <c r="F872" s="34">
        <v>1.0</v>
      </c>
      <c r="G872" s="34">
        <v>18.0</v>
      </c>
      <c r="H872" s="34" t="s">
        <v>29</v>
      </c>
      <c r="I872" s="34" t="s">
        <v>40</v>
      </c>
      <c r="J872" s="34" t="s">
        <v>1985</v>
      </c>
      <c r="K872" s="34" t="s">
        <v>1986</v>
      </c>
      <c r="L872" s="34" t="s">
        <v>1496</v>
      </c>
      <c r="M872" s="35" t="s">
        <v>681</v>
      </c>
      <c r="N872" s="24"/>
      <c r="O872" s="34" t="s">
        <v>40</v>
      </c>
      <c r="P872" s="34">
        <v>16.0</v>
      </c>
      <c r="Q872" s="34">
        <v>3200.0</v>
      </c>
      <c r="R872" s="34" t="s">
        <v>34</v>
      </c>
      <c r="S872" s="34" t="s">
        <v>1220</v>
      </c>
    </row>
    <row r="873" ht="15.75" customHeight="1">
      <c r="A873" s="33">
        <v>45955.262227245374</v>
      </c>
      <c r="B873" s="34" t="s">
        <v>154</v>
      </c>
      <c r="C873" s="34" t="s">
        <v>1987</v>
      </c>
      <c r="D873" s="34" t="s">
        <v>1988</v>
      </c>
      <c r="E873" s="34" t="s">
        <v>1989</v>
      </c>
      <c r="F873" s="34">
        <v>2.0</v>
      </c>
      <c r="G873" s="34">
        <v>16.0</v>
      </c>
      <c r="H873" s="34" t="s">
        <v>29</v>
      </c>
      <c r="I873" s="34" t="s">
        <v>40</v>
      </c>
      <c r="K873" s="34" t="s">
        <v>1990</v>
      </c>
      <c r="L873" s="34" t="s">
        <v>111</v>
      </c>
      <c r="M873" s="37" t="s">
        <v>1991</v>
      </c>
      <c r="N873" s="24"/>
      <c r="O873" s="34" t="s">
        <v>40</v>
      </c>
      <c r="P873" s="34">
        <v>8.0</v>
      </c>
      <c r="Q873" s="34">
        <v>1600.0</v>
      </c>
      <c r="R873" s="34" t="s">
        <v>1219</v>
      </c>
      <c r="S873" s="34" t="s">
        <v>1225</v>
      </c>
    </row>
    <row r="874" ht="15.75" customHeight="1">
      <c r="A874" s="33">
        <v>45960.040368437505</v>
      </c>
      <c r="B874" s="34" t="s">
        <v>1992</v>
      </c>
      <c r="C874" s="34" t="s">
        <v>1963</v>
      </c>
      <c r="D874" s="34" t="s">
        <v>716</v>
      </c>
      <c r="E874" s="34" t="s">
        <v>1318</v>
      </c>
      <c r="F874" s="34">
        <v>2.0</v>
      </c>
      <c r="G874" s="34">
        <v>32.0</v>
      </c>
      <c r="H874" s="34" t="s">
        <v>29</v>
      </c>
      <c r="I874" s="34" t="s">
        <v>40</v>
      </c>
      <c r="K874" s="34" t="s">
        <v>1993</v>
      </c>
      <c r="M874" s="24"/>
      <c r="N874" s="24"/>
      <c r="O874" s="34" t="s">
        <v>29</v>
      </c>
      <c r="P874" s="34">
        <v>16.0</v>
      </c>
      <c r="Q874" s="34">
        <v>2666.0</v>
      </c>
      <c r="R874" s="34" t="s">
        <v>34</v>
      </c>
      <c r="S874" s="34" t="s">
        <v>1225</v>
      </c>
    </row>
    <row r="875" ht="15.75" customHeight="1">
      <c r="A875" s="33">
        <v>45960.59561350694</v>
      </c>
      <c r="B875" s="34" t="s">
        <v>465</v>
      </c>
      <c r="C875" s="34" t="s">
        <v>1963</v>
      </c>
      <c r="D875" s="34" t="s">
        <v>27</v>
      </c>
      <c r="E875" s="34" t="s">
        <v>1377</v>
      </c>
      <c r="H875" s="34" t="s">
        <v>40</v>
      </c>
      <c r="K875" s="34" t="s">
        <v>1994</v>
      </c>
      <c r="L875" s="34" t="s">
        <v>608</v>
      </c>
      <c r="M875" s="37" t="s">
        <v>609</v>
      </c>
      <c r="N875" s="24"/>
      <c r="P875" s="34">
        <v>16.0</v>
      </c>
      <c r="Q875" s="34">
        <v>3200.0</v>
      </c>
      <c r="R875" s="34" t="s">
        <v>34</v>
      </c>
      <c r="S875" s="34" t="s">
        <v>1217</v>
      </c>
    </row>
    <row r="876" ht="15.75" customHeight="1">
      <c r="A876" s="33">
        <v>45960.59700112269</v>
      </c>
      <c r="B876" s="34" t="s">
        <v>465</v>
      </c>
      <c r="C876" s="34" t="s">
        <v>1963</v>
      </c>
      <c r="D876" s="34" t="s">
        <v>119</v>
      </c>
      <c r="E876" s="34" t="s">
        <v>725</v>
      </c>
      <c r="H876" s="34" t="s">
        <v>40</v>
      </c>
      <c r="K876" s="34" t="s">
        <v>1994</v>
      </c>
      <c r="L876" s="34" t="s">
        <v>608</v>
      </c>
      <c r="M876" s="37" t="s">
        <v>609</v>
      </c>
      <c r="N876" s="24"/>
      <c r="P876" s="34">
        <v>8.0</v>
      </c>
      <c r="R876" s="34" t="s">
        <v>34</v>
      </c>
      <c r="S876" s="34" t="s">
        <v>1217</v>
      </c>
    </row>
    <row r="877" ht="15.75" customHeight="1">
      <c r="A877" s="33">
        <v>45960.72888724537</v>
      </c>
      <c r="B877" s="34" t="s">
        <v>124</v>
      </c>
      <c r="C877" s="34" t="s">
        <v>1821</v>
      </c>
      <c r="D877" s="34" t="s">
        <v>38</v>
      </c>
      <c r="E877" s="34" t="s">
        <v>1995</v>
      </c>
      <c r="F877" s="34">
        <v>1.0</v>
      </c>
      <c r="G877" s="34">
        <v>10.0</v>
      </c>
      <c r="H877" s="34" t="s">
        <v>29</v>
      </c>
      <c r="I877" s="34" t="s">
        <v>40</v>
      </c>
      <c r="K877" s="34" t="s">
        <v>1996</v>
      </c>
      <c r="M877" s="24"/>
      <c r="N877" s="24"/>
      <c r="O877" s="34" t="s">
        <v>40</v>
      </c>
      <c r="P877" s="34">
        <v>8.0</v>
      </c>
      <c r="Q877" s="34">
        <v>2666.0</v>
      </c>
      <c r="R877" s="34" t="s">
        <v>34</v>
      </c>
      <c r="S877" s="34" t="s">
        <v>1217</v>
      </c>
    </row>
    <row r="878" ht="15.75" customHeight="1">
      <c r="A878" s="33">
        <v>45962.45704641203</v>
      </c>
      <c r="B878" s="34" t="s">
        <v>61</v>
      </c>
      <c r="C878" s="34" t="s">
        <v>1821</v>
      </c>
      <c r="D878" s="34" t="s">
        <v>27</v>
      </c>
      <c r="E878" s="34" t="s">
        <v>713</v>
      </c>
      <c r="F878" s="34">
        <v>2.0</v>
      </c>
      <c r="G878" s="34">
        <v>16.0</v>
      </c>
      <c r="H878" s="34" t="s">
        <v>29</v>
      </c>
      <c r="I878" s="34" t="s">
        <v>40</v>
      </c>
      <c r="J878" s="34" t="s">
        <v>1997</v>
      </c>
      <c r="K878" s="34" t="s">
        <v>1998</v>
      </c>
      <c r="L878" s="34" t="s">
        <v>103</v>
      </c>
      <c r="M878" s="35" t="s">
        <v>631</v>
      </c>
      <c r="N878" s="37" t="s">
        <v>1999</v>
      </c>
      <c r="O878" s="34" t="s">
        <v>40</v>
      </c>
      <c r="P878" s="34">
        <v>8.0</v>
      </c>
      <c r="Q878" s="34">
        <v>1866.0</v>
      </c>
      <c r="R878" s="34" t="s">
        <v>1219</v>
      </c>
      <c r="S878" s="34" t="s">
        <v>1225</v>
      </c>
    </row>
    <row r="879" ht="15.75" customHeight="1">
      <c r="A879" s="33">
        <v>45963.63664295139</v>
      </c>
      <c r="B879" s="34" t="s">
        <v>1796</v>
      </c>
      <c r="C879" s="34" t="s">
        <v>2000</v>
      </c>
      <c r="D879" s="34" t="s">
        <v>38</v>
      </c>
      <c r="E879" s="34" t="s">
        <v>368</v>
      </c>
      <c r="F879" s="34">
        <v>1.0</v>
      </c>
      <c r="G879" s="34">
        <v>18.0</v>
      </c>
      <c r="H879" s="34" t="s">
        <v>29</v>
      </c>
      <c r="I879" s="34" t="s">
        <v>40</v>
      </c>
      <c r="K879" s="34" t="s">
        <v>2001</v>
      </c>
      <c r="M879" s="41" t="s">
        <v>2002</v>
      </c>
      <c r="O879" s="34" t="s">
        <v>126</v>
      </c>
      <c r="P879" s="34">
        <v>16.0</v>
      </c>
      <c r="Q879" s="34">
        <v>3200.0</v>
      </c>
      <c r="R879" s="34" t="s">
        <v>34</v>
      </c>
      <c r="S879" s="34" t="s">
        <v>1220</v>
      </c>
    </row>
    <row r="880" ht="15.75" customHeight="1">
      <c r="A880" s="33">
        <v>45965.315153958334</v>
      </c>
      <c r="B880" s="34" t="s">
        <v>465</v>
      </c>
      <c r="C880" s="34" t="s">
        <v>1963</v>
      </c>
      <c r="D880" s="34" t="s">
        <v>27</v>
      </c>
      <c r="E880" s="34" t="s">
        <v>1669</v>
      </c>
      <c r="F880" s="34">
        <v>1.0</v>
      </c>
      <c r="G880" s="34">
        <v>10.0</v>
      </c>
      <c r="H880" s="34" t="s">
        <v>29</v>
      </c>
      <c r="I880" s="34" t="s">
        <v>40</v>
      </c>
      <c r="K880" s="34" t="s">
        <v>1994</v>
      </c>
      <c r="L880" s="34" t="s">
        <v>608</v>
      </c>
      <c r="M880" s="34" t="s">
        <v>609</v>
      </c>
      <c r="O880" s="34" t="s">
        <v>126</v>
      </c>
      <c r="P880" s="34">
        <v>8.0</v>
      </c>
      <c r="Q880" s="34">
        <v>3200.0</v>
      </c>
      <c r="R880" s="34" t="s">
        <v>34</v>
      </c>
      <c r="S880" s="34" t="s">
        <v>1217</v>
      </c>
    </row>
    <row r="881" ht="15.75" customHeight="1">
      <c r="A881" s="33">
        <v>45965.903601134254</v>
      </c>
      <c r="B881" s="34" t="s">
        <v>1794</v>
      </c>
      <c r="C881" s="34" t="s">
        <v>2000</v>
      </c>
      <c r="D881" s="34" t="s">
        <v>127</v>
      </c>
      <c r="E881" s="34" t="s">
        <v>108</v>
      </c>
      <c r="F881" s="34">
        <v>2.0</v>
      </c>
      <c r="G881" s="34">
        <v>18.0</v>
      </c>
      <c r="H881" s="34" t="s">
        <v>40</v>
      </c>
      <c r="I881" s="34" t="s">
        <v>40</v>
      </c>
      <c r="K881" s="34" t="s">
        <v>2003</v>
      </c>
      <c r="L881" s="34" t="s">
        <v>608</v>
      </c>
      <c r="M881" s="34" t="s">
        <v>2004</v>
      </c>
      <c r="O881" s="34" t="s">
        <v>40</v>
      </c>
      <c r="P881" s="34">
        <v>16.0</v>
      </c>
      <c r="Q881" s="34">
        <v>2666.0</v>
      </c>
      <c r="R881" s="34" t="s">
        <v>34</v>
      </c>
      <c r="S881" s="34" t="s">
        <v>1225</v>
      </c>
    </row>
    <row r="882" ht="15.75" customHeight="1">
      <c r="A882" s="33">
        <v>45965.91349265046</v>
      </c>
      <c r="B882" s="34" t="s">
        <v>288</v>
      </c>
      <c r="C882" s="34" t="s">
        <v>1821</v>
      </c>
      <c r="D882" s="34" t="s">
        <v>27</v>
      </c>
      <c r="E882" s="34" t="s">
        <v>1875</v>
      </c>
      <c r="F882" s="34">
        <v>1.0</v>
      </c>
      <c r="G882" s="34">
        <v>18.0</v>
      </c>
      <c r="H882" s="34" t="s">
        <v>29</v>
      </c>
      <c r="I882" s="34" t="s">
        <v>40</v>
      </c>
      <c r="J882" s="34" t="s">
        <v>2005</v>
      </c>
      <c r="K882" s="34" t="s">
        <v>2006</v>
      </c>
      <c r="L882" s="34" t="s">
        <v>585</v>
      </c>
      <c r="M882" s="41" t="s">
        <v>1936</v>
      </c>
      <c r="O882" s="34" t="s">
        <v>40</v>
      </c>
      <c r="P882" s="34">
        <v>16.0</v>
      </c>
      <c r="Q882" s="34">
        <v>3200.0</v>
      </c>
      <c r="R882" s="34" t="s">
        <v>34</v>
      </c>
      <c r="S882" s="34" t="s">
        <v>1225</v>
      </c>
    </row>
    <row r="883" ht="15.75" customHeight="1">
      <c r="A883" s="33">
        <v>45966.64211534722</v>
      </c>
      <c r="B883" s="34" t="s">
        <v>1796</v>
      </c>
      <c r="C883" s="34" t="s">
        <v>2000</v>
      </c>
      <c r="D883" s="34" t="s">
        <v>789</v>
      </c>
      <c r="E883" s="34" t="s">
        <v>2007</v>
      </c>
      <c r="F883" s="34">
        <v>1.0</v>
      </c>
      <c r="G883" s="34">
        <v>10.0</v>
      </c>
      <c r="H883" s="34" t="s">
        <v>29</v>
      </c>
      <c r="J883" s="34" t="s">
        <v>2008</v>
      </c>
      <c r="K883" s="34" t="s">
        <v>1288</v>
      </c>
      <c r="L883" s="34" t="s">
        <v>808</v>
      </c>
      <c r="O883" s="34" t="s">
        <v>40</v>
      </c>
      <c r="P883" s="34">
        <v>8.0</v>
      </c>
      <c r="Q883" s="34">
        <v>3200.0</v>
      </c>
      <c r="R883" s="34" t="s">
        <v>34</v>
      </c>
    </row>
    <row r="884" ht="15.75" customHeight="1">
      <c r="A884" s="33">
        <v>45967.68340851852</v>
      </c>
      <c r="B884" s="34" t="s">
        <v>1642</v>
      </c>
      <c r="C884" s="34" t="s">
        <v>2000</v>
      </c>
      <c r="D884" s="34" t="s">
        <v>27</v>
      </c>
      <c r="E884" s="34" t="s">
        <v>2009</v>
      </c>
      <c r="F884" s="34">
        <v>1.0</v>
      </c>
      <c r="G884" s="34">
        <v>16.0</v>
      </c>
      <c r="H884" s="34" t="s">
        <v>29</v>
      </c>
      <c r="I884" s="34" t="s">
        <v>40</v>
      </c>
      <c r="J884" s="34" t="s">
        <v>2010</v>
      </c>
      <c r="K884" s="34" t="s">
        <v>2011</v>
      </c>
      <c r="L884" s="34" t="s">
        <v>2012</v>
      </c>
      <c r="N884" s="34" t="s">
        <v>2013</v>
      </c>
      <c r="O884" s="34" t="s">
        <v>40</v>
      </c>
      <c r="P884" s="34">
        <v>16.0</v>
      </c>
      <c r="Q884" s="34">
        <v>3200.0</v>
      </c>
      <c r="R884" s="34" t="s">
        <v>34</v>
      </c>
      <c r="S884" s="34" t="s">
        <v>1225</v>
      </c>
    </row>
    <row r="885" ht="15.75" customHeight="1">
      <c r="A885" s="33">
        <v>45967.78244913195</v>
      </c>
      <c r="B885" s="34" t="s">
        <v>1794</v>
      </c>
      <c r="C885" s="34" t="s">
        <v>2000</v>
      </c>
      <c r="D885" s="34" t="s">
        <v>38</v>
      </c>
      <c r="E885" s="34" t="s">
        <v>153</v>
      </c>
      <c r="F885" s="34">
        <v>1.0</v>
      </c>
      <c r="G885" s="34">
        <v>10.0</v>
      </c>
      <c r="H885" s="34" t="s">
        <v>29</v>
      </c>
      <c r="I885" s="34" t="s">
        <v>40</v>
      </c>
      <c r="K885" s="34" t="s">
        <v>2003</v>
      </c>
      <c r="L885" s="34" t="s">
        <v>608</v>
      </c>
      <c r="M885" s="41" t="s">
        <v>1544</v>
      </c>
      <c r="N885" s="34" t="s">
        <v>2014</v>
      </c>
      <c r="O885" s="34" t="s">
        <v>40</v>
      </c>
      <c r="P885" s="34">
        <v>8.0</v>
      </c>
      <c r="Q885" s="34">
        <v>3200.0</v>
      </c>
      <c r="R885" s="34" t="s">
        <v>34</v>
      </c>
      <c r="S885" s="34" t="s">
        <v>1220</v>
      </c>
    </row>
    <row r="886" ht="15.75" customHeight="1">
      <c r="A886" s="33">
        <v>45968.61414706019</v>
      </c>
      <c r="B886" s="34" t="s">
        <v>61</v>
      </c>
      <c r="C886" s="34" t="s">
        <v>1821</v>
      </c>
      <c r="D886" s="34" t="s">
        <v>27</v>
      </c>
      <c r="E886" s="34" t="s">
        <v>2015</v>
      </c>
      <c r="F886" s="34">
        <v>2.0</v>
      </c>
      <c r="G886" s="34">
        <v>16.0</v>
      </c>
      <c r="H886" s="34" t="s">
        <v>40</v>
      </c>
      <c r="I886" s="34" t="s">
        <v>40</v>
      </c>
      <c r="J886" s="34" t="s">
        <v>2016</v>
      </c>
      <c r="K886" s="34" t="s">
        <v>1998</v>
      </c>
      <c r="L886" s="34" t="s">
        <v>103</v>
      </c>
      <c r="M886" s="41" t="s">
        <v>631</v>
      </c>
      <c r="O886" s="34" t="s">
        <v>40</v>
      </c>
      <c r="P886" s="34">
        <v>8.0</v>
      </c>
      <c r="Q886" s="34">
        <v>1866.0</v>
      </c>
      <c r="R886" s="34" t="s">
        <v>1219</v>
      </c>
      <c r="S886" s="34" t="s">
        <v>1225</v>
      </c>
    </row>
    <row r="887" ht="15.75" customHeight="1">
      <c r="A887" s="33">
        <v>45968.88103859954</v>
      </c>
      <c r="B887" s="34" t="s">
        <v>2017</v>
      </c>
      <c r="C887" s="34" t="s">
        <v>1821</v>
      </c>
      <c r="D887" s="34" t="s">
        <v>2018</v>
      </c>
      <c r="E887" s="34" t="s">
        <v>2019</v>
      </c>
      <c r="F887" s="34">
        <v>1.0</v>
      </c>
      <c r="G887" s="34">
        <v>10.0</v>
      </c>
      <c r="H887" s="34" t="s">
        <v>29</v>
      </c>
      <c r="I887" s="34" t="s">
        <v>40</v>
      </c>
      <c r="K887" s="34" t="s">
        <v>2020</v>
      </c>
      <c r="L887" s="34" t="s">
        <v>31</v>
      </c>
      <c r="M887" s="34" t="s">
        <v>260</v>
      </c>
      <c r="O887" s="34" t="s">
        <v>40</v>
      </c>
      <c r="P887" s="34">
        <v>8.0</v>
      </c>
      <c r="Q887" s="34">
        <v>2666.0</v>
      </c>
      <c r="R887" s="34" t="s">
        <v>34</v>
      </c>
      <c r="S887" s="34" t="s">
        <v>1217</v>
      </c>
    </row>
    <row r="888" ht="15.75" customHeight="1">
      <c r="A888" s="33">
        <v>45971.44299355324</v>
      </c>
      <c r="B888" s="34" t="s">
        <v>288</v>
      </c>
      <c r="C888" s="34" t="s">
        <v>1821</v>
      </c>
      <c r="D888" s="34" t="s">
        <v>852</v>
      </c>
      <c r="E888" s="34" t="s">
        <v>1812</v>
      </c>
      <c r="F888" s="34">
        <v>1.0</v>
      </c>
      <c r="G888" s="34">
        <v>18.0</v>
      </c>
      <c r="H888" s="34" t="s">
        <v>29</v>
      </c>
      <c r="I888" s="34" t="s">
        <v>40</v>
      </c>
      <c r="J888" s="34" t="s">
        <v>2021</v>
      </c>
      <c r="K888" s="34" t="s">
        <v>2022</v>
      </c>
      <c r="L888" s="34" t="s">
        <v>186</v>
      </c>
      <c r="M888" s="41" t="s">
        <v>2023</v>
      </c>
      <c r="N888" s="34" t="s">
        <v>2024</v>
      </c>
      <c r="O888" s="34" t="s">
        <v>40</v>
      </c>
      <c r="P888" s="34">
        <v>16.0</v>
      </c>
      <c r="Q888" s="34">
        <v>3200.0</v>
      </c>
      <c r="R888" s="34" t="s">
        <v>34</v>
      </c>
      <c r="S888" s="34" t="s">
        <v>1220</v>
      </c>
    </row>
    <row r="889" ht="15.75" customHeight="1">
      <c r="A889" s="33">
        <v>45971.5397737037</v>
      </c>
      <c r="B889" s="34" t="s">
        <v>1722</v>
      </c>
      <c r="C889" s="34" t="s">
        <v>2000</v>
      </c>
      <c r="D889" s="34" t="s">
        <v>27</v>
      </c>
      <c r="E889" s="34" t="s">
        <v>228</v>
      </c>
      <c r="F889" s="34">
        <v>1.0</v>
      </c>
      <c r="G889" s="34">
        <v>6.0</v>
      </c>
      <c r="H889" s="34" t="s">
        <v>29</v>
      </c>
      <c r="I889" s="34" t="s">
        <v>29</v>
      </c>
      <c r="K889" s="34" t="s">
        <v>1288</v>
      </c>
      <c r="L889" s="34" t="s">
        <v>608</v>
      </c>
      <c r="O889" s="34" t="s">
        <v>40</v>
      </c>
      <c r="P889" s="34">
        <v>4.0</v>
      </c>
      <c r="Q889" s="34">
        <v>2666.0</v>
      </c>
      <c r="R889" s="34" t="s">
        <v>34</v>
      </c>
      <c r="S889" s="34" t="s">
        <v>1217</v>
      </c>
    </row>
    <row r="890" ht="15.75" customHeight="1">
      <c r="A890" s="33">
        <v>45971.543602129634</v>
      </c>
      <c r="B890" s="34" t="s">
        <v>1722</v>
      </c>
      <c r="C890" s="34" t="s">
        <v>2000</v>
      </c>
      <c r="D890" s="34" t="s">
        <v>38</v>
      </c>
      <c r="E890" s="34" t="s">
        <v>68</v>
      </c>
      <c r="F890" s="34">
        <v>1.0</v>
      </c>
      <c r="G890" s="34">
        <v>10.0</v>
      </c>
      <c r="H890" s="34" t="s">
        <v>29</v>
      </c>
      <c r="I890" s="34" t="s">
        <v>40</v>
      </c>
      <c r="K890" s="34" t="s">
        <v>1288</v>
      </c>
      <c r="L890" s="34" t="s">
        <v>608</v>
      </c>
      <c r="M890" s="34" t="s">
        <v>2025</v>
      </c>
      <c r="O890" s="34" t="s">
        <v>40</v>
      </c>
      <c r="P890" s="34">
        <v>8.0</v>
      </c>
      <c r="Q890" s="34">
        <v>2666.0</v>
      </c>
      <c r="R890" s="34" t="s">
        <v>34</v>
      </c>
      <c r="S890" s="34" t="s">
        <v>1217</v>
      </c>
    </row>
    <row r="891" ht="15.75" customHeight="1">
      <c r="A891" s="33">
        <v>45973.38303320602</v>
      </c>
      <c r="B891" s="34" t="s">
        <v>138</v>
      </c>
      <c r="C891" s="34" t="s">
        <v>1821</v>
      </c>
      <c r="D891" s="34" t="s">
        <v>976</v>
      </c>
      <c r="E891" s="34" t="s">
        <v>2026</v>
      </c>
      <c r="F891" s="34">
        <v>1.0</v>
      </c>
      <c r="G891" s="34">
        <v>34.0</v>
      </c>
      <c r="H891" s="34" t="s">
        <v>29</v>
      </c>
      <c r="I891" s="34" t="s">
        <v>40</v>
      </c>
      <c r="K891" s="34" t="s">
        <v>2027</v>
      </c>
      <c r="O891" s="34" t="s">
        <v>40</v>
      </c>
      <c r="P891" s="34">
        <v>32.0</v>
      </c>
      <c r="Q891" s="34">
        <v>3200.0</v>
      </c>
      <c r="R891" s="34" t="s">
        <v>34</v>
      </c>
      <c r="S891" s="34" t="s">
        <v>1217</v>
      </c>
    </row>
    <row r="892" ht="15.75" customHeight="1">
      <c r="A892" s="33">
        <v>45979.51089263889</v>
      </c>
      <c r="B892" s="34" t="s">
        <v>1642</v>
      </c>
      <c r="C892" s="34" t="s">
        <v>2028</v>
      </c>
      <c r="D892" s="34" t="s">
        <v>107</v>
      </c>
      <c r="E892" s="34" t="s">
        <v>2029</v>
      </c>
      <c r="F892" s="34">
        <v>1.0</v>
      </c>
      <c r="G892" s="34">
        <v>32.0</v>
      </c>
      <c r="H892" s="34" t="s">
        <v>29</v>
      </c>
      <c r="I892" s="34" t="s">
        <v>40</v>
      </c>
      <c r="K892" s="34" t="s">
        <v>2030</v>
      </c>
      <c r="O892" s="34" t="s">
        <v>40</v>
      </c>
      <c r="P892" s="34">
        <v>32.0</v>
      </c>
      <c r="Q892" s="34">
        <v>3200.0</v>
      </c>
      <c r="R892" s="34" t="s">
        <v>34</v>
      </c>
      <c r="S892" s="34" t="s">
        <v>1225</v>
      </c>
    </row>
    <row r="893" ht="15.75" customHeight="1">
      <c r="A893" s="33">
        <v>45979.51496354167</v>
      </c>
      <c r="B893" s="34" t="s">
        <v>1642</v>
      </c>
      <c r="C893" s="34" t="s">
        <v>2028</v>
      </c>
      <c r="D893" s="34" t="s">
        <v>107</v>
      </c>
      <c r="E893" s="34" t="s">
        <v>2031</v>
      </c>
      <c r="F893" s="34">
        <v>1.0</v>
      </c>
      <c r="G893" s="34">
        <v>16.0</v>
      </c>
      <c r="H893" s="34" t="s">
        <v>29</v>
      </c>
      <c r="I893" s="34" t="s">
        <v>40</v>
      </c>
      <c r="K893" s="34" t="s">
        <v>2030</v>
      </c>
      <c r="O893" s="34" t="s">
        <v>40</v>
      </c>
      <c r="P893" s="34">
        <v>16.0</v>
      </c>
      <c r="Q893" s="34">
        <v>3200.0</v>
      </c>
      <c r="R893" s="34" t="s">
        <v>34</v>
      </c>
      <c r="S893" s="34" t="s">
        <v>1217</v>
      </c>
    </row>
    <row r="894" ht="15.75" customHeight="1">
      <c r="A894" s="33">
        <v>45979.517601898144</v>
      </c>
      <c r="B894" s="34" t="s">
        <v>1642</v>
      </c>
      <c r="C894" s="34" t="s">
        <v>2028</v>
      </c>
      <c r="D894" s="34" t="s">
        <v>119</v>
      </c>
      <c r="E894" s="34" t="s">
        <v>665</v>
      </c>
      <c r="F894" s="34">
        <v>1.0</v>
      </c>
      <c r="G894" s="34">
        <v>16.0</v>
      </c>
      <c r="H894" s="34" t="s">
        <v>29</v>
      </c>
      <c r="I894" s="34" t="s">
        <v>40</v>
      </c>
      <c r="K894" s="34" t="s">
        <v>2030</v>
      </c>
      <c r="O894" s="34" t="s">
        <v>40</v>
      </c>
      <c r="P894" s="34">
        <v>16.0</v>
      </c>
      <c r="Q894" s="34">
        <v>3200.0</v>
      </c>
      <c r="R894" s="34" t="s">
        <v>34</v>
      </c>
      <c r="S894" s="34" t="s">
        <v>1225</v>
      </c>
    </row>
    <row r="895" ht="15.75" customHeight="1">
      <c r="A895" s="33">
        <v>45979.74390526621</v>
      </c>
      <c r="B895" s="34" t="s">
        <v>169</v>
      </c>
      <c r="C895" s="34" t="s">
        <v>1821</v>
      </c>
      <c r="D895" s="34" t="s">
        <v>132</v>
      </c>
      <c r="E895" s="34" t="s">
        <v>133</v>
      </c>
      <c r="F895" s="34">
        <v>2.0</v>
      </c>
      <c r="G895" s="34">
        <v>32.0</v>
      </c>
      <c r="H895" s="34" t="s">
        <v>29</v>
      </c>
      <c r="I895" s="34" t="s">
        <v>40</v>
      </c>
      <c r="J895" s="34" t="s">
        <v>2032</v>
      </c>
      <c r="K895" s="34" t="s">
        <v>2033</v>
      </c>
      <c r="L895" s="34" t="s">
        <v>111</v>
      </c>
      <c r="M895" s="41" t="s">
        <v>106</v>
      </c>
      <c r="N895" s="34" t="s">
        <v>2034</v>
      </c>
      <c r="O895" s="34" t="s">
        <v>29</v>
      </c>
      <c r="P895" s="34">
        <v>16.0</v>
      </c>
      <c r="Q895" s="34">
        <v>2666.0</v>
      </c>
      <c r="R895" s="34" t="s">
        <v>34</v>
      </c>
      <c r="S895" s="34" t="s">
        <v>1225</v>
      </c>
    </row>
    <row r="896" ht="15.75" customHeight="1">
      <c r="A896" s="33">
        <v>45981.007402800926</v>
      </c>
      <c r="B896" s="34" t="s">
        <v>1796</v>
      </c>
      <c r="C896" s="34" t="s">
        <v>2000</v>
      </c>
      <c r="D896" s="34" t="s">
        <v>27</v>
      </c>
      <c r="E896" s="34" t="s">
        <v>1669</v>
      </c>
      <c r="F896" s="34">
        <v>1.0</v>
      </c>
      <c r="G896" s="34">
        <v>10.0</v>
      </c>
      <c r="H896" s="34" t="s">
        <v>29</v>
      </c>
      <c r="I896" s="34" t="s">
        <v>40</v>
      </c>
      <c r="K896" s="34" t="s">
        <v>2035</v>
      </c>
      <c r="L896" s="34" t="s">
        <v>136</v>
      </c>
      <c r="M896" s="34" t="s">
        <v>2036</v>
      </c>
      <c r="O896" s="34" t="s">
        <v>126</v>
      </c>
      <c r="P896" s="34">
        <v>8.0</v>
      </c>
      <c r="Q896" s="34">
        <v>3200.0</v>
      </c>
      <c r="R896" s="34" t="s">
        <v>34</v>
      </c>
      <c r="S896" s="34" t="s">
        <v>1220</v>
      </c>
    </row>
    <row r="897" ht="15.75" customHeight="1">
      <c r="A897" s="33">
        <v>45981.684122210645</v>
      </c>
      <c r="B897" s="34" t="s">
        <v>2</v>
      </c>
      <c r="C897" s="34" t="s">
        <v>2037</v>
      </c>
      <c r="D897" s="34" t="s">
        <v>27</v>
      </c>
      <c r="E897" s="34" t="s">
        <v>2038</v>
      </c>
      <c r="F897" s="34">
        <v>1.0</v>
      </c>
      <c r="G897" s="34">
        <v>20.0</v>
      </c>
      <c r="H897" s="34" t="s">
        <v>29</v>
      </c>
      <c r="I897" s="34" t="s">
        <v>40</v>
      </c>
      <c r="K897" s="34" t="s">
        <v>2039</v>
      </c>
      <c r="L897" s="34" t="s">
        <v>252</v>
      </c>
      <c r="O897" s="34" t="s">
        <v>40</v>
      </c>
      <c r="P897" s="34">
        <v>16.0</v>
      </c>
      <c r="Q897" s="34">
        <v>3200.0</v>
      </c>
      <c r="R897" s="34" t="s">
        <v>34</v>
      </c>
      <c r="S897" s="34" t="s">
        <v>1220</v>
      </c>
    </row>
    <row r="898" ht="15.75" customHeight="1">
      <c r="A898" s="33">
        <v>45983.36848740741</v>
      </c>
      <c r="B898" s="34" t="s">
        <v>1642</v>
      </c>
      <c r="C898" s="34" t="s">
        <v>2028</v>
      </c>
      <c r="D898" s="34" t="s">
        <v>107</v>
      </c>
      <c r="E898" s="34" t="s">
        <v>2029</v>
      </c>
      <c r="F898" s="34">
        <v>2.0</v>
      </c>
      <c r="G898" s="34">
        <v>64.0</v>
      </c>
      <c r="H898" s="34" t="s">
        <v>29</v>
      </c>
      <c r="I898" s="34" t="s">
        <v>40</v>
      </c>
      <c r="J898" s="34" t="s">
        <v>2040</v>
      </c>
      <c r="K898" s="34" t="s">
        <v>2030</v>
      </c>
      <c r="L898" s="34" t="s">
        <v>1496</v>
      </c>
      <c r="N898" s="34" t="s">
        <v>2041</v>
      </c>
      <c r="O898" s="34" t="s">
        <v>40</v>
      </c>
      <c r="P898" s="34">
        <v>32.0</v>
      </c>
      <c r="Q898" s="34">
        <v>3200.0</v>
      </c>
      <c r="R898" s="34" t="s">
        <v>34</v>
      </c>
      <c r="S898" s="34" t="s">
        <v>1225</v>
      </c>
    </row>
    <row r="899" ht="15.75" customHeight="1">
      <c r="A899" s="33">
        <v>45983.50474862268</v>
      </c>
      <c r="B899" s="34" t="s">
        <v>1642</v>
      </c>
      <c r="C899" s="34" t="s">
        <v>2028</v>
      </c>
      <c r="D899" s="34" t="s">
        <v>2042</v>
      </c>
      <c r="E899" s="34" t="s">
        <v>2031</v>
      </c>
      <c r="F899" s="34">
        <v>2.0</v>
      </c>
      <c r="G899" s="34">
        <v>32.0</v>
      </c>
      <c r="H899" s="34" t="s">
        <v>29</v>
      </c>
      <c r="I899" s="34" t="s">
        <v>40</v>
      </c>
      <c r="J899" s="34" t="s">
        <v>2040</v>
      </c>
      <c r="K899" s="34" t="s">
        <v>2030</v>
      </c>
      <c r="L899" s="34" t="s">
        <v>1496</v>
      </c>
      <c r="N899" s="34" t="s">
        <v>2043</v>
      </c>
      <c r="O899" s="34" t="s">
        <v>40</v>
      </c>
      <c r="P899" s="34">
        <v>16.0</v>
      </c>
      <c r="Q899" s="34">
        <v>3200.0</v>
      </c>
      <c r="R899" s="34" t="s">
        <v>34</v>
      </c>
      <c r="S899" s="34" t="s">
        <v>1217</v>
      </c>
    </row>
    <row r="900" ht="15.75" customHeight="1">
      <c r="A900" s="33">
        <v>45984.060287025466</v>
      </c>
      <c r="B900" s="34" t="s">
        <v>465</v>
      </c>
      <c r="C900" s="34" t="s">
        <v>1821</v>
      </c>
      <c r="D900" s="34" t="s">
        <v>1196</v>
      </c>
      <c r="E900" s="34" t="s">
        <v>2044</v>
      </c>
      <c r="F900" s="34">
        <v>1.0</v>
      </c>
      <c r="G900" s="34">
        <v>2.0</v>
      </c>
      <c r="H900" s="34" t="s">
        <v>29</v>
      </c>
      <c r="I900" s="34" t="s">
        <v>40</v>
      </c>
      <c r="J900" s="34" t="s">
        <v>2045</v>
      </c>
      <c r="K900" s="34" t="s">
        <v>2046</v>
      </c>
      <c r="L900" s="34" t="s">
        <v>111</v>
      </c>
      <c r="M900" s="34" t="s">
        <v>1196</v>
      </c>
      <c r="N900" s="34" t="s">
        <v>1415</v>
      </c>
      <c r="O900" s="34" t="s">
        <v>40</v>
      </c>
      <c r="P900" s="34">
        <v>4.0</v>
      </c>
      <c r="Q900" s="34">
        <v>2666.0</v>
      </c>
      <c r="R900" s="34" t="s">
        <v>1220</v>
      </c>
      <c r="S900" s="34" t="s">
        <v>1220</v>
      </c>
    </row>
    <row r="901" ht="15.75" customHeight="1">
      <c r="A901" s="33">
        <v>45984.09764413194</v>
      </c>
      <c r="B901" s="34" t="s">
        <v>1796</v>
      </c>
      <c r="C901" s="34" t="s">
        <v>2028</v>
      </c>
      <c r="D901" s="34" t="s">
        <v>922</v>
      </c>
      <c r="E901" s="34" t="s">
        <v>2047</v>
      </c>
      <c r="F901" s="34">
        <v>1.0</v>
      </c>
      <c r="G901" s="34">
        <v>10.0</v>
      </c>
      <c r="H901" s="34" t="s">
        <v>29</v>
      </c>
      <c r="I901" s="34" t="s">
        <v>40</v>
      </c>
      <c r="J901" s="34" t="s">
        <v>2048</v>
      </c>
      <c r="K901" s="34" t="s">
        <v>2049</v>
      </c>
      <c r="L901" s="34" t="s">
        <v>186</v>
      </c>
      <c r="M901" s="34" t="s">
        <v>1714</v>
      </c>
      <c r="O901" s="34" t="s">
        <v>126</v>
      </c>
      <c r="P901" s="34">
        <v>8.0</v>
      </c>
      <c r="Q901" s="34">
        <v>3200.0</v>
      </c>
      <c r="R901" s="34" t="s">
        <v>34</v>
      </c>
      <c r="S901" s="34" t="s">
        <v>1220</v>
      </c>
    </row>
    <row r="902" ht="15.75" customHeight="1">
      <c r="A902" s="33">
        <v>45984.36654541666</v>
      </c>
      <c r="B902" s="34" t="s">
        <v>465</v>
      </c>
      <c r="C902" s="34" t="s">
        <v>1821</v>
      </c>
      <c r="D902" s="34" t="s">
        <v>38</v>
      </c>
      <c r="E902" s="34" t="s">
        <v>2050</v>
      </c>
      <c r="F902" s="34">
        <v>1.0</v>
      </c>
      <c r="G902" s="34">
        <v>10.0</v>
      </c>
      <c r="H902" s="34" t="s">
        <v>40</v>
      </c>
      <c r="K902" s="34" t="s">
        <v>2051</v>
      </c>
      <c r="L902" s="34" t="s">
        <v>31</v>
      </c>
      <c r="M902" s="34" t="s">
        <v>38</v>
      </c>
      <c r="O902" s="34" t="s">
        <v>126</v>
      </c>
      <c r="P902" s="34">
        <v>8.0</v>
      </c>
      <c r="Q902" s="34">
        <v>3200.0</v>
      </c>
      <c r="R902" s="34" t="s">
        <v>34</v>
      </c>
      <c r="S902" s="34" t="s">
        <v>1217</v>
      </c>
    </row>
    <row r="903" ht="15.75" customHeight="1">
      <c r="A903" s="33">
        <v>45985.75546875</v>
      </c>
      <c r="B903" s="34" t="s">
        <v>1796</v>
      </c>
      <c r="C903" s="34" t="s">
        <v>2028</v>
      </c>
      <c r="D903" s="34" t="s">
        <v>27</v>
      </c>
      <c r="E903" s="34" t="s">
        <v>1669</v>
      </c>
      <c r="F903" s="34">
        <v>1.0</v>
      </c>
      <c r="G903" s="34">
        <v>10.0</v>
      </c>
      <c r="H903" s="34" t="s">
        <v>29</v>
      </c>
      <c r="I903" s="34" t="s">
        <v>40</v>
      </c>
      <c r="K903" s="34" t="s">
        <v>2052</v>
      </c>
      <c r="L903" s="34" t="s">
        <v>136</v>
      </c>
      <c r="M903" s="34" t="s">
        <v>2036</v>
      </c>
      <c r="O903" s="34" t="s">
        <v>40</v>
      </c>
      <c r="P903" s="34">
        <v>8.0</v>
      </c>
      <c r="Q903" s="34">
        <v>3200.0</v>
      </c>
      <c r="R903" s="34" t="s">
        <v>34</v>
      </c>
      <c r="S903" s="34" t="s">
        <v>1217</v>
      </c>
    </row>
    <row r="904" ht="15.75" customHeight="1">
      <c r="A904" s="33">
        <v>45986.82232386574</v>
      </c>
      <c r="B904" s="34" t="s">
        <v>1796</v>
      </c>
      <c r="C904" s="34" t="s">
        <v>2028</v>
      </c>
      <c r="D904" s="34" t="s">
        <v>27</v>
      </c>
      <c r="E904" s="34" t="s">
        <v>1669</v>
      </c>
      <c r="F904" s="34">
        <v>1.0</v>
      </c>
      <c r="G904" s="34">
        <v>10.0</v>
      </c>
      <c r="H904" s="34" t="s">
        <v>29</v>
      </c>
      <c r="I904" s="34" t="s">
        <v>40</v>
      </c>
      <c r="K904" s="34" t="s">
        <v>2053</v>
      </c>
      <c r="L904" s="34" t="s">
        <v>585</v>
      </c>
      <c r="O904" s="34" t="s">
        <v>40</v>
      </c>
      <c r="P904" s="34">
        <v>8.0</v>
      </c>
      <c r="Q904" s="34">
        <v>3200.0</v>
      </c>
      <c r="R904" s="34" t="s">
        <v>34</v>
      </c>
      <c r="S904" s="34" t="s">
        <v>1217</v>
      </c>
    </row>
    <row r="905" ht="15.75" customHeight="1">
      <c r="A905" s="33">
        <v>45987.36716084491</v>
      </c>
      <c r="B905" s="34" t="s">
        <v>465</v>
      </c>
      <c r="C905" s="34" t="s">
        <v>2037</v>
      </c>
      <c r="D905" s="34" t="s">
        <v>107</v>
      </c>
      <c r="E905" s="34" t="s">
        <v>289</v>
      </c>
      <c r="F905" s="34">
        <v>1.0</v>
      </c>
      <c r="G905" s="34">
        <v>10.0</v>
      </c>
      <c r="H905" s="34" t="s">
        <v>29</v>
      </c>
      <c r="I905" s="34" t="s">
        <v>40</v>
      </c>
      <c r="K905" s="34" t="s">
        <v>2054</v>
      </c>
      <c r="O905" s="34" t="s">
        <v>40</v>
      </c>
      <c r="P905" s="34">
        <v>8.0</v>
      </c>
      <c r="Q905" s="34">
        <v>2400.0</v>
      </c>
      <c r="R905" s="34" t="s">
        <v>34</v>
      </c>
      <c r="S905" s="34" t="s">
        <v>1220</v>
      </c>
    </row>
    <row r="906" ht="15.75" customHeight="1">
      <c r="A906" s="33">
        <v>45987.56217116898</v>
      </c>
      <c r="B906" s="34" t="s">
        <v>1796</v>
      </c>
      <c r="C906" s="34" t="s">
        <v>2000</v>
      </c>
      <c r="D906" s="34" t="s">
        <v>38</v>
      </c>
      <c r="E906" s="34" t="s">
        <v>1191</v>
      </c>
      <c r="F906" s="34">
        <v>1.0</v>
      </c>
      <c r="G906" s="34">
        <v>18.0</v>
      </c>
      <c r="H906" s="34" t="s">
        <v>29</v>
      </c>
      <c r="I906" s="34" t="s">
        <v>40</v>
      </c>
      <c r="J906" s="34" t="s">
        <v>2055</v>
      </c>
      <c r="K906" s="34" t="s">
        <v>2056</v>
      </c>
      <c r="L906" s="34" t="s">
        <v>1790</v>
      </c>
      <c r="M906" s="41" t="s">
        <v>2057</v>
      </c>
      <c r="O906" s="34" t="s">
        <v>40</v>
      </c>
      <c r="P906" s="34">
        <v>16.0</v>
      </c>
      <c r="Q906" s="34">
        <v>3200.0</v>
      </c>
      <c r="R906" s="34" t="s">
        <v>34</v>
      </c>
      <c r="S906" s="34" t="s">
        <v>1220</v>
      </c>
    </row>
    <row r="907" ht="15.75" customHeight="1">
      <c r="A907" s="33">
        <v>45987.69369512732</v>
      </c>
      <c r="B907" s="34" t="s">
        <v>465</v>
      </c>
      <c r="C907" s="34" t="s">
        <v>1821</v>
      </c>
      <c r="D907" s="34" t="s">
        <v>119</v>
      </c>
      <c r="E907" s="34" t="s">
        <v>1416</v>
      </c>
      <c r="F907" s="34">
        <v>1.0</v>
      </c>
      <c r="G907" s="34">
        <v>10.0</v>
      </c>
      <c r="H907" s="34" t="s">
        <v>29</v>
      </c>
      <c r="I907" s="34" t="s">
        <v>40</v>
      </c>
      <c r="K907" s="34" t="s">
        <v>2058</v>
      </c>
      <c r="L907" s="34" t="s">
        <v>136</v>
      </c>
      <c r="O907" s="34" t="s">
        <v>40</v>
      </c>
      <c r="P907" s="34">
        <v>8.0</v>
      </c>
      <c r="Q907" s="34">
        <v>3200.0</v>
      </c>
      <c r="R907" s="34" t="s">
        <v>34</v>
      </c>
      <c r="S907" s="34" t="s">
        <v>1217</v>
      </c>
    </row>
    <row r="908" ht="15.75" customHeight="1">
      <c r="A908" s="33">
        <v>45987.697692118054</v>
      </c>
      <c r="B908" s="34" t="s">
        <v>2</v>
      </c>
      <c r="C908" s="34" t="s">
        <v>2037</v>
      </c>
      <c r="D908" s="34" t="s">
        <v>922</v>
      </c>
      <c r="E908" s="34" t="s">
        <v>923</v>
      </c>
      <c r="F908" s="34">
        <v>1.0</v>
      </c>
      <c r="G908" s="34">
        <v>20.0</v>
      </c>
      <c r="H908" s="34" t="s">
        <v>29</v>
      </c>
      <c r="I908" s="34" t="s">
        <v>40</v>
      </c>
      <c r="K908" s="34" t="s">
        <v>516</v>
      </c>
      <c r="L908" s="34" t="s">
        <v>31</v>
      </c>
      <c r="M908" s="41" t="s">
        <v>230</v>
      </c>
      <c r="O908" s="34" t="s">
        <v>40</v>
      </c>
      <c r="P908" s="34">
        <v>16.0</v>
      </c>
      <c r="Q908" s="34">
        <v>3200.0</v>
      </c>
      <c r="R908" s="34" t="s">
        <v>1219</v>
      </c>
      <c r="S908" s="34" t="s">
        <v>1220</v>
      </c>
    </row>
    <row r="909" ht="15.75" customHeight="1">
      <c r="A909" s="33">
        <v>45990.605039629634</v>
      </c>
      <c r="B909" s="34" t="s">
        <v>465</v>
      </c>
      <c r="C909" s="34" t="s">
        <v>1463</v>
      </c>
      <c r="D909" s="34" t="s">
        <v>119</v>
      </c>
      <c r="E909" s="34" t="s">
        <v>1023</v>
      </c>
      <c r="F909" s="34">
        <v>1.0</v>
      </c>
      <c r="G909" s="34">
        <v>10.0</v>
      </c>
      <c r="H909" s="34" t="s">
        <v>29</v>
      </c>
      <c r="I909" s="34" t="s">
        <v>40</v>
      </c>
      <c r="K909" s="34" t="s">
        <v>2059</v>
      </c>
      <c r="L909" s="34" t="s">
        <v>608</v>
      </c>
      <c r="M909" s="41" t="s">
        <v>1544</v>
      </c>
      <c r="O909" s="34" t="s">
        <v>40</v>
      </c>
      <c r="P909" s="34">
        <v>8.0</v>
      </c>
      <c r="Q909" s="34">
        <v>2666.0</v>
      </c>
      <c r="R909" s="34" t="s">
        <v>34</v>
      </c>
      <c r="S909" s="34" t="s">
        <v>1220</v>
      </c>
    </row>
    <row r="910" ht="15.75" customHeight="1">
      <c r="A910" s="33">
        <v>45990.61509527778</v>
      </c>
      <c r="B910" s="34" t="s">
        <v>465</v>
      </c>
      <c r="C910" s="34" t="s">
        <v>1463</v>
      </c>
      <c r="D910" s="34" t="s">
        <v>38</v>
      </c>
      <c r="E910" s="34" t="s">
        <v>2060</v>
      </c>
      <c r="F910" s="34">
        <v>1.0</v>
      </c>
      <c r="G910" s="34">
        <v>10.0</v>
      </c>
      <c r="H910" s="34" t="s">
        <v>29</v>
      </c>
      <c r="I910" s="34" t="s">
        <v>40</v>
      </c>
      <c r="K910" s="34" t="s">
        <v>2059</v>
      </c>
      <c r="L910" s="34" t="s">
        <v>608</v>
      </c>
      <c r="M910" s="41" t="s">
        <v>1566</v>
      </c>
      <c r="O910" s="34" t="s">
        <v>40</v>
      </c>
      <c r="P910" s="34">
        <v>8.0</v>
      </c>
      <c r="Q910" s="34">
        <v>2666.0</v>
      </c>
      <c r="R910" s="34" t="s">
        <v>34</v>
      </c>
      <c r="S910" s="34" t="s">
        <v>1220</v>
      </c>
    </row>
    <row r="911" ht="15.75" customHeight="1">
      <c r="A911" s="33">
        <v>45991.91201280092</v>
      </c>
      <c r="B911" s="34" t="s">
        <v>288</v>
      </c>
      <c r="C911" s="34" t="s">
        <v>2028</v>
      </c>
      <c r="D911" s="34" t="s">
        <v>27</v>
      </c>
      <c r="E911" s="34" t="s">
        <v>1875</v>
      </c>
      <c r="F911" s="34">
        <v>1.0</v>
      </c>
      <c r="G911" s="34">
        <v>18.0</v>
      </c>
      <c r="H911" s="34" t="s">
        <v>29</v>
      </c>
      <c r="I911" s="34" t="s">
        <v>40</v>
      </c>
      <c r="K911" s="34" t="s">
        <v>2061</v>
      </c>
      <c r="L911" s="34" t="s">
        <v>532</v>
      </c>
      <c r="M911" s="34" t="s">
        <v>2062</v>
      </c>
      <c r="N911" s="34" t="s">
        <v>2063</v>
      </c>
      <c r="O911" s="34" t="s">
        <v>40</v>
      </c>
      <c r="P911" s="34">
        <v>16.0</v>
      </c>
      <c r="Q911" s="34">
        <v>3200.0</v>
      </c>
      <c r="R911" s="34" t="s">
        <v>34</v>
      </c>
      <c r="S911" s="34" t="s">
        <v>1225</v>
      </c>
    </row>
    <row r="912" ht="15.75" customHeight="1">
      <c r="A912" s="33">
        <v>45992.39616986111</v>
      </c>
      <c r="B912" s="34" t="s">
        <v>61</v>
      </c>
      <c r="C912" s="34" t="s">
        <v>1914</v>
      </c>
      <c r="D912" s="34" t="s">
        <v>71</v>
      </c>
      <c r="E912" s="34" t="s">
        <v>2064</v>
      </c>
      <c r="F912" s="34">
        <v>1.0</v>
      </c>
      <c r="G912" s="34">
        <v>12.0</v>
      </c>
      <c r="H912" s="34" t="s">
        <v>29</v>
      </c>
      <c r="I912" s="34" t="s">
        <v>40</v>
      </c>
      <c r="K912" s="34" t="s">
        <v>2065</v>
      </c>
      <c r="L912" s="34" t="s">
        <v>445</v>
      </c>
      <c r="M912" s="41" t="s">
        <v>901</v>
      </c>
      <c r="N912" s="34" t="s">
        <v>2066</v>
      </c>
      <c r="O912" s="34" t="s">
        <v>40</v>
      </c>
      <c r="P912" s="34">
        <v>8.0</v>
      </c>
      <c r="Q912" s="34">
        <v>1866.0</v>
      </c>
      <c r="R912" s="34" t="s">
        <v>1219</v>
      </c>
      <c r="S912" s="34" t="s">
        <v>1225</v>
      </c>
    </row>
    <row r="913" ht="15.75" customHeight="1">
      <c r="A913" s="33">
        <v>45993.47820271991</v>
      </c>
      <c r="B913" s="34" t="s">
        <v>1796</v>
      </c>
      <c r="C913" s="34" t="s">
        <v>2000</v>
      </c>
      <c r="D913" s="34" t="s">
        <v>460</v>
      </c>
      <c r="E913" s="34" t="s">
        <v>2067</v>
      </c>
      <c r="F913" s="34">
        <v>1.0</v>
      </c>
      <c r="G913" s="34">
        <v>18.0</v>
      </c>
      <c r="H913" s="34" t="s">
        <v>29</v>
      </c>
      <c r="I913" s="34" t="s">
        <v>40</v>
      </c>
      <c r="K913" s="34" t="s">
        <v>2068</v>
      </c>
      <c r="O913" s="34" t="s">
        <v>40</v>
      </c>
      <c r="P913" s="34">
        <v>16.0</v>
      </c>
      <c r="Q913" s="34">
        <v>3200.0</v>
      </c>
      <c r="R913" s="34" t="s">
        <v>34</v>
      </c>
      <c r="S913" s="34" t="s">
        <v>1220</v>
      </c>
    </row>
    <row r="914" ht="15.75" customHeight="1">
      <c r="A914" s="33">
        <v>45995.05864063658</v>
      </c>
      <c r="B914" s="34" t="s">
        <v>1992</v>
      </c>
      <c r="C914" s="34" t="s">
        <v>2028</v>
      </c>
      <c r="D914" s="34" t="s">
        <v>565</v>
      </c>
      <c r="E914" s="34" t="s">
        <v>2069</v>
      </c>
      <c r="F914" s="34">
        <v>2.0</v>
      </c>
      <c r="G914" s="34">
        <v>32.0</v>
      </c>
      <c r="H914" s="34" t="s">
        <v>29</v>
      </c>
      <c r="I914" s="34" t="s">
        <v>40</v>
      </c>
      <c r="K914" s="34" t="s">
        <v>2070</v>
      </c>
      <c r="L914" s="34" t="s">
        <v>111</v>
      </c>
      <c r="M914" s="41" t="s">
        <v>116</v>
      </c>
      <c r="O914" s="34" t="s">
        <v>29</v>
      </c>
      <c r="P914" s="34">
        <v>16.0</v>
      </c>
      <c r="Q914" s="34">
        <v>2666.0</v>
      </c>
      <c r="R914" s="34" t="s">
        <v>34</v>
      </c>
      <c r="S914" s="34" t="s">
        <v>1220</v>
      </c>
    </row>
    <row r="915" ht="15.75" customHeight="1">
      <c r="A915" s="33">
        <v>45996.24254925926</v>
      </c>
      <c r="B915" s="34" t="s">
        <v>1796</v>
      </c>
      <c r="C915" s="34" t="s">
        <v>2071</v>
      </c>
      <c r="D915" s="34" t="s">
        <v>1870</v>
      </c>
      <c r="E915" s="34" t="s">
        <v>2072</v>
      </c>
      <c r="F915" s="34">
        <v>1.0</v>
      </c>
      <c r="G915" s="34">
        <v>18.0</v>
      </c>
      <c r="H915" s="34" t="s">
        <v>29</v>
      </c>
      <c r="I915" s="34" t="s">
        <v>40</v>
      </c>
      <c r="J915" s="34" t="s">
        <v>2073</v>
      </c>
      <c r="K915" s="34" t="s">
        <v>2074</v>
      </c>
      <c r="L915" s="34" t="s">
        <v>2075</v>
      </c>
      <c r="M915" s="41" t="s">
        <v>2076</v>
      </c>
      <c r="O915" s="34" t="s">
        <v>40</v>
      </c>
      <c r="P915" s="34">
        <v>16.0</v>
      </c>
      <c r="Q915" s="34">
        <v>3200.0</v>
      </c>
      <c r="R915" s="34" t="s">
        <v>34</v>
      </c>
      <c r="S915" s="34" t="s">
        <v>1225</v>
      </c>
    </row>
    <row r="916" ht="15.75" customHeight="1">
      <c r="A916" s="33">
        <v>45998.207466817126</v>
      </c>
      <c r="B916" s="34" t="s">
        <v>1796</v>
      </c>
      <c r="C916" s="34" t="s">
        <v>2028</v>
      </c>
      <c r="D916" s="34" t="s">
        <v>565</v>
      </c>
      <c r="E916" s="34" t="s">
        <v>1363</v>
      </c>
      <c r="F916" s="34">
        <v>1.0</v>
      </c>
      <c r="G916" s="34">
        <v>18.0</v>
      </c>
      <c r="H916" s="34" t="s">
        <v>29</v>
      </c>
      <c r="I916" s="34" t="s">
        <v>40</v>
      </c>
      <c r="J916" s="34" t="s">
        <v>2077</v>
      </c>
      <c r="K916" s="34" t="s">
        <v>2078</v>
      </c>
      <c r="L916" s="34" t="s">
        <v>111</v>
      </c>
      <c r="M916" s="41" t="s">
        <v>50</v>
      </c>
      <c r="O916" s="34" t="s">
        <v>40</v>
      </c>
      <c r="P916" s="34">
        <v>16.0</v>
      </c>
      <c r="Q916" s="34">
        <v>2666.0</v>
      </c>
      <c r="R916" s="34" t="s">
        <v>34</v>
      </c>
      <c r="S916" s="34" t="s">
        <v>1225</v>
      </c>
    </row>
    <row r="917" ht="15.75" customHeight="1">
      <c r="A917" s="33">
        <v>45998.62479717593</v>
      </c>
      <c r="B917" s="34" t="s">
        <v>288</v>
      </c>
      <c r="C917" s="34" t="s">
        <v>2037</v>
      </c>
      <c r="D917" s="34" t="s">
        <v>119</v>
      </c>
      <c r="E917" s="34" t="s">
        <v>473</v>
      </c>
      <c r="F917" s="34">
        <v>1.0</v>
      </c>
      <c r="G917" s="34">
        <v>18.0</v>
      </c>
      <c r="H917" s="34" t="s">
        <v>29</v>
      </c>
      <c r="I917" s="34" t="s">
        <v>40</v>
      </c>
      <c r="J917" s="34" t="s">
        <v>2079</v>
      </c>
      <c r="K917" s="34" t="s">
        <v>2080</v>
      </c>
      <c r="L917" s="34" t="s">
        <v>436</v>
      </c>
      <c r="M917" s="34" t="s">
        <v>2081</v>
      </c>
      <c r="O917" s="34" t="s">
        <v>40</v>
      </c>
      <c r="P917" s="34">
        <v>16.0</v>
      </c>
      <c r="Q917" s="34">
        <v>2666.0</v>
      </c>
      <c r="R917" s="34" t="s">
        <v>34</v>
      </c>
      <c r="S917" s="34" t="s">
        <v>1225</v>
      </c>
    </row>
    <row r="918" ht="15.75" customHeight="1">
      <c r="A918" s="33">
        <v>45999.823868148145</v>
      </c>
      <c r="B918" s="34" t="s">
        <v>1796</v>
      </c>
      <c r="C918" s="34" t="s">
        <v>1963</v>
      </c>
      <c r="D918" s="34" t="s">
        <v>922</v>
      </c>
      <c r="E918" s="34" t="s">
        <v>2082</v>
      </c>
      <c r="F918" s="34">
        <v>1.0</v>
      </c>
      <c r="G918" s="34">
        <v>10.0</v>
      </c>
      <c r="H918" s="34" t="s">
        <v>29</v>
      </c>
      <c r="I918" s="34" t="s">
        <v>40</v>
      </c>
      <c r="J918" s="34" t="s">
        <v>2083</v>
      </c>
      <c r="K918" s="34" t="s">
        <v>1986</v>
      </c>
      <c r="L918" s="34" t="s">
        <v>140</v>
      </c>
      <c r="M918" s="34" t="s">
        <v>210</v>
      </c>
      <c r="O918" s="34" t="s">
        <v>40</v>
      </c>
      <c r="P918" s="34">
        <v>8.0</v>
      </c>
      <c r="Q918" s="34">
        <v>3200.0</v>
      </c>
      <c r="R918" s="34" t="s">
        <v>34</v>
      </c>
      <c r="S918" s="34" t="s">
        <v>1217</v>
      </c>
    </row>
    <row r="919" ht="15.75" customHeight="1">
      <c r="A919" s="33">
        <v>45999.90105314815</v>
      </c>
      <c r="B919" s="34" t="s">
        <v>138</v>
      </c>
      <c r="C919" s="34" t="s">
        <v>2084</v>
      </c>
      <c r="D919" s="34" t="s">
        <v>71</v>
      </c>
      <c r="E919" s="34" t="s">
        <v>1318</v>
      </c>
      <c r="F919" s="34">
        <v>2.0</v>
      </c>
      <c r="G919" s="34">
        <v>32.0</v>
      </c>
      <c r="H919" s="34" t="s">
        <v>29</v>
      </c>
      <c r="I919" s="34" t="s">
        <v>40</v>
      </c>
      <c r="J919" s="34" t="s">
        <v>2085</v>
      </c>
      <c r="K919" s="34" t="s">
        <v>2086</v>
      </c>
      <c r="L919" s="34" t="s">
        <v>31</v>
      </c>
      <c r="M919" s="41" t="s">
        <v>230</v>
      </c>
      <c r="N919" s="34" t="s">
        <v>1684</v>
      </c>
      <c r="O919" s="34" t="s">
        <v>29</v>
      </c>
      <c r="P919" s="34">
        <v>16.0</v>
      </c>
      <c r="Q919" s="34">
        <v>2666.0</v>
      </c>
      <c r="R919" s="34" t="s">
        <v>34</v>
      </c>
      <c r="S919" s="34" t="s">
        <v>1225</v>
      </c>
    </row>
    <row r="920" ht="15.75" customHeight="1">
      <c r="A920" s="33">
        <v>46000.73418950231</v>
      </c>
      <c r="B920" s="34" t="s">
        <v>1642</v>
      </c>
      <c r="C920" s="34" t="s">
        <v>2071</v>
      </c>
      <c r="D920" s="34" t="s">
        <v>2087</v>
      </c>
      <c r="E920" s="34" t="s">
        <v>2088</v>
      </c>
      <c r="F920" s="34">
        <v>1.0</v>
      </c>
      <c r="G920" s="34">
        <v>8.0</v>
      </c>
      <c r="H920" s="34" t="s">
        <v>29</v>
      </c>
      <c r="I920" s="34" t="s">
        <v>40</v>
      </c>
      <c r="K920" s="34" t="s">
        <v>2089</v>
      </c>
      <c r="L920" s="34" t="s">
        <v>608</v>
      </c>
      <c r="O920" s="34" t="s">
        <v>40</v>
      </c>
      <c r="P920" s="34">
        <v>8.0</v>
      </c>
      <c r="Q920" s="34">
        <v>3200.0</v>
      </c>
      <c r="R920" s="34" t="s">
        <v>34</v>
      </c>
      <c r="S920" s="34" t="s">
        <v>1217</v>
      </c>
    </row>
    <row r="921" ht="15.75" customHeight="1">
      <c r="A921" s="33">
        <v>46001.004672766205</v>
      </c>
      <c r="B921" s="34" t="s">
        <v>465</v>
      </c>
      <c r="C921" s="34" t="s">
        <v>2071</v>
      </c>
      <c r="D921" s="34" t="s">
        <v>1867</v>
      </c>
      <c r="E921" s="34" t="s">
        <v>120</v>
      </c>
      <c r="F921" s="34">
        <v>1.0</v>
      </c>
      <c r="G921" s="34">
        <v>10.0</v>
      </c>
      <c r="H921" s="34" t="s">
        <v>29</v>
      </c>
      <c r="I921" s="34" t="s">
        <v>40</v>
      </c>
      <c r="K921" s="34" t="s">
        <v>2090</v>
      </c>
      <c r="L921" s="34" t="s">
        <v>111</v>
      </c>
      <c r="O921" s="34" t="s">
        <v>40</v>
      </c>
      <c r="P921" s="34">
        <v>8.0</v>
      </c>
      <c r="Q921" s="34">
        <v>2666.0</v>
      </c>
      <c r="R921" s="34" t="s">
        <v>34</v>
      </c>
      <c r="S921" s="34" t="s">
        <v>1220</v>
      </c>
    </row>
    <row r="922" ht="15.75" customHeight="1">
      <c r="A922" s="33">
        <v>46003.08971172453</v>
      </c>
      <c r="B922" s="34" t="s">
        <v>36</v>
      </c>
      <c r="C922" s="34" t="s">
        <v>2037</v>
      </c>
      <c r="D922" s="34" t="s">
        <v>27</v>
      </c>
      <c r="E922" s="34" t="s">
        <v>157</v>
      </c>
      <c r="F922" s="34">
        <v>1.0</v>
      </c>
      <c r="G922" s="34">
        <v>20.0</v>
      </c>
      <c r="H922" s="34" t="s">
        <v>29</v>
      </c>
      <c r="I922" s="34" t="s">
        <v>40</v>
      </c>
      <c r="K922" s="34" t="s">
        <v>2091</v>
      </c>
      <c r="L922" s="34" t="s">
        <v>1156</v>
      </c>
      <c r="N922" s="34" t="s">
        <v>2092</v>
      </c>
      <c r="O922" s="34" t="s">
        <v>40</v>
      </c>
      <c r="P922" s="34">
        <v>16.0</v>
      </c>
      <c r="Q922" s="34">
        <v>2666.0</v>
      </c>
      <c r="R922" s="34" t="s">
        <v>34</v>
      </c>
      <c r="S922" s="34" t="s">
        <v>1220</v>
      </c>
    </row>
    <row r="923" ht="15.75" customHeight="1">
      <c r="A923" s="33">
        <v>46003.32006371528</v>
      </c>
      <c r="B923" s="34" t="s">
        <v>288</v>
      </c>
      <c r="C923" s="34" t="s">
        <v>1914</v>
      </c>
      <c r="D923" s="34" t="s">
        <v>1046</v>
      </c>
      <c r="E923" s="34" t="s">
        <v>955</v>
      </c>
      <c r="F923" s="34">
        <v>1.0</v>
      </c>
      <c r="G923" s="34">
        <v>10.0</v>
      </c>
      <c r="H923" s="34" t="s">
        <v>40</v>
      </c>
      <c r="I923" s="34" t="s">
        <v>40</v>
      </c>
      <c r="K923" s="34" t="s">
        <v>2093</v>
      </c>
      <c r="L923" s="34" t="s">
        <v>538</v>
      </c>
      <c r="M923" s="34" t="s">
        <v>2094</v>
      </c>
      <c r="O923" s="34" t="s">
        <v>126</v>
      </c>
      <c r="P923" s="34">
        <v>8.0</v>
      </c>
      <c r="Q923" s="34">
        <v>2666.0</v>
      </c>
      <c r="R923" s="34" t="s">
        <v>34</v>
      </c>
      <c r="S923" s="34" t="s">
        <v>1217</v>
      </c>
    </row>
    <row r="924" ht="15.75" customHeight="1">
      <c r="A924" s="33">
        <v>46003.36567309027</v>
      </c>
      <c r="B924" s="34" t="s">
        <v>1796</v>
      </c>
      <c r="C924" s="34" t="s">
        <v>2071</v>
      </c>
      <c r="D924" s="34" t="s">
        <v>2095</v>
      </c>
      <c r="E924" s="34" t="s">
        <v>2096</v>
      </c>
      <c r="F924" s="34">
        <v>1.0</v>
      </c>
      <c r="G924" s="34">
        <v>6.0</v>
      </c>
      <c r="H924" s="34" t="s">
        <v>29</v>
      </c>
      <c r="I924" s="34" t="s">
        <v>40</v>
      </c>
      <c r="J924" s="34" t="s">
        <v>2097</v>
      </c>
      <c r="K924" s="34" t="s">
        <v>2098</v>
      </c>
      <c r="L924" s="34" t="s">
        <v>1524</v>
      </c>
      <c r="M924" s="34" t="s">
        <v>2099</v>
      </c>
      <c r="O924" s="34" t="s">
        <v>40</v>
      </c>
      <c r="P924" s="34">
        <v>4.0</v>
      </c>
      <c r="Q924" s="34">
        <v>2666.0</v>
      </c>
      <c r="R924" s="34" t="s">
        <v>34</v>
      </c>
      <c r="S924" s="34" t="s">
        <v>1217</v>
      </c>
    </row>
    <row r="925" ht="15.75" customHeight="1">
      <c r="A925" s="33">
        <v>46003.367499513886</v>
      </c>
      <c r="B925" s="34" t="s">
        <v>1796</v>
      </c>
      <c r="C925" s="34" t="s">
        <v>2071</v>
      </c>
      <c r="D925" s="34" t="s">
        <v>27</v>
      </c>
      <c r="E925" s="34" t="s">
        <v>1014</v>
      </c>
      <c r="F925" s="34">
        <v>1.0</v>
      </c>
      <c r="G925" s="34">
        <v>18.0</v>
      </c>
      <c r="H925" s="34" t="s">
        <v>29</v>
      </c>
      <c r="I925" s="34" t="s">
        <v>40</v>
      </c>
      <c r="J925" s="34" t="s">
        <v>2100</v>
      </c>
      <c r="K925" s="34" t="s">
        <v>2098</v>
      </c>
      <c r="L925" s="34" t="s">
        <v>1524</v>
      </c>
      <c r="M925" s="34" t="s">
        <v>2101</v>
      </c>
      <c r="O925" s="34" t="s">
        <v>40</v>
      </c>
      <c r="P925" s="34">
        <v>16.0</v>
      </c>
      <c r="Q925" s="34">
        <v>3200.0</v>
      </c>
      <c r="R925" s="34" t="s">
        <v>34</v>
      </c>
      <c r="S925" s="34" t="s">
        <v>1225</v>
      </c>
    </row>
    <row r="926" ht="15.75" customHeight="1">
      <c r="A926" s="33">
        <v>46006.77460913194</v>
      </c>
      <c r="B926" s="34" t="s">
        <v>1796</v>
      </c>
      <c r="C926" s="34" t="s">
        <v>2071</v>
      </c>
      <c r="D926" s="34" t="s">
        <v>119</v>
      </c>
      <c r="E926" s="34" t="s">
        <v>592</v>
      </c>
      <c r="F926" s="34">
        <v>1.0</v>
      </c>
      <c r="G926" s="34">
        <v>6.0</v>
      </c>
      <c r="H926" s="34" t="s">
        <v>29</v>
      </c>
      <c r="I926" s="34" t="s">
        <v>40</v>
      </c>
      <c r="K926" s="34" t="s">
        <v>1234</v>
      </c>
      <c r="O926" s="34" t="s">
        <v>40</v>
      </c>
      <c r="P926" s="34">
        <v>4.0</v>
      </c>
      <c r="Q926" s="34">
        <v>3200.0</v>
      </c>
      <c r="R926" s="34" t="s">
        <v>34</v>
      </c>
      <c r="S926" s="34" t="s">
        <v>1217</v>
      </c>
    </row>
    <row r="927" ht="15.75" customHeight="1">
      <c r="A927" s="33">
        <v>46006.78022302083</v>
      </c>
      <c r="B927" s="34" t="s">
        <v>1796</v>
      </c>
      <c r="C927" s="34" t="s">
        <v>2071</v>
      </c>
      <c r="D927" s="34" t="s">
        <v>119</v>
      </c>
      <c r="E927" s="34" t="s">
        <v>1416</v>
      </c>
      <c r="F927" s="34">
        <v>1.0</v>
      </c>
      <c r="H927" s="34" t="s">
        <v>40</v>
      </c>
      <c r="K927" s="34" t="s">
        <v>1234</v>
      </c>
      <c r="O927" s="34" t="s">
        <v>40</v>
      </c>
      <c r="P927" s="34">
        <v>8.0</v>
      </c>
      <c r="Q927" s="34">
        <v>3200.0</v>
      </c>
      <c r="R927" s="34" t="s">
        <v>34</v>
      </c>
      <c r="S927" s="34" t="s">
        <v>1217</v>
      </c>
    </row>
    <row r="928" ht="15.75" customHeight="1">
      <c r="A928" s="33">
        <v>46007.94600293982</v>
      </c>
      <c r="B928" s="34" t="s">
        <v>288</v>
      </c>
      <c r="C928" s="34" t="s">
        <v>2071</v>
      </c>
      <c r="D928" s="34" t="s">
        <v>27</v>
      </c>
      <c r="E928" s="34" t="s">
        <v>1875</v>
      </c>
      <c r="F928" s="34">
        <v>1.0</v>
      </c>
      <c r="G928" s="34">
        <v>18.0</v>
      </c>
      <c r="H928" s="34" t="s">
        <v>29</v>
      </c>
      <c r="I928" s="34" t="s">
        <v>40</v>
      </c>
      <c r="K928" s="34" t="s">
        <v>2102</v>
      </c>
      <c r="L928" s="34" t="s">
        <v>136</v>
      </c>
      <c r="O928" s="34" t="s">
        <v>40</v>
      </c>
      <c r="P928" s="34">
        <v>16.0</v>
      </c>
      <c r="Q928" s="34">
        <v>3200.0</v>
      </c>
      <c r="R928" s="34" t="s">
        <v>34</v>
      </c>
      <c r="S928" s="34" t="s">
        <v>1220</v>
      </c>
    </row>
    <row r="929" ht="15.75" customHeight="1">
      <c r="A929" s="33">
        <v>46007.96370905093</v>
      </c>
      <c r="B929" s="34" t="s">
        <v>298</v>
      </c>
      <c r="C929" s="34" t="s">
        <v>1987</v>
      </c>
      <c r="D929" s="34" t="s">
        <v>716</v>
      </c>
      <c r="E929" s="34" t="s">
        <v>1481</v>
      </c>
      <c r="F929" s="34">
        <v>2.0</v>
      </c>
      <c r="G929" s="34">
        <v>16.0</v>
      </c>
      <c r="H929" s="34" t="s">
        <v>29</v>
      </c>
      <c r="I929" s="34" t="s">
        <v>40</v>
      </c>
      <c r="K929" s="34" t="s">
        <v>2103</v>
      </c>
      <c r="L929" s="34" t="s">
        <v>111</v>
      </c>
      <c r="M929" s="41" t="s">
        <v>50</v>
      </c>
      <c r="N929" s="34" t="s">
        <v>2104</v>
      </c>
      <c r="O929" s="34" t="s">
        <v>40</v>
      </c>
      <c r="P929" s="34">
        <v>8.0</v>
      </c>
      <c r="Q929" s="34">
        <v>1600.0</v>
      </c>
      <c r="R929" s="34" t="s">
        <v>1219</v>
      </c>
      <c r="S929" s="34" t="s">
        <v>1225</v>
      </c>
    </row>
    <row r="930" ht="15.75" customHeight="1">
      <c r="A930" s="33">
        <v>46008.44563045139</v>
      </c>
      <c r="B930" s="34" t="s">
        <v>298</v>
      </c>
      <c r="C930" s="34" t="s">
        <v>2037</v>
      </c>
      <c r="D930" s="34" t="s">
        <v>27</v>
      </c>
      <c r="E930" s="34" t="s">
        <v>1153</v>
      </c>
      <c r="F930" s="34">
        <v>2.0</v>
      </c>
      <c r="G930" s="34">
        <v>16.0</v>
      </c>
      <c r="H930" s="34" t="s">
        <v>29</v>
      </c>
      <c r="I930" s="34" t="s">
        <v>40</v>
      </c>
      <c r="K930" s="34" t="s">
        <v>2091</v>
      </c>
      <c r="L930" s="34" t="s">
        <v>2105</v>
      </c>
      <c r="N930" s="34" t="s">
        <v>2106</v>
      </c>
      <c r="O930" s="34" t="s">
        <v>40</v>
      </c>
      <c r="P930" s="34">
        <v>8.0</v>
      </c>
      <c r="Q930" s="34">
        <v>1600.0</v>
      </c>
      <c r="R930" s="34" t="s">
        <v>1219</v>
      </c>
      <c r="S930" s="34" t="s">
        <v>1220</v>
      </c>
    </row>
    <row r="931" ht="15.75" customHeight="1">
      <c r="A931" s="33">
        <v>46009.490576655095</v>
      </c>
      <c r="B931" s="34" t="s">
        <v>1796</v>
      </c>
      <c r="C931" s="34" t="s">
        <v>2071</v>
      </c>
      <c r="D931" s="34" t="s">
        <v>27</v>
      </c>
      <c r="E931" s="34" t="s">
        <v>2107</v>
      </c>
      <c r="F931" s="34">
        <v>1.0</v>
      </c>
      <c r="G931" s="34">
        <v>10.0</v>
      </c>
      <c r="H931" s="34" t="s">
        <v>29</v>
      </c>
      <c r="I931" s="34" t="s">
        <v>40</v>
      </c>
      <c r="J931" s="34" t="s">
        <v>2108</v>
      </c>
      <c r="K931" s="34" t="s">
        <v>2109</v>
      </c>
      <c r="O931" s="34" t="s">
        <v>126</v>
      </c>
      <c r="P931" s="34">
        <v>8.0</v>
      </c>
      <c r="Q931" s="34">
        <v>3200.0</v>
      </c>
      <c r="R931" s="34" t="s">
        <v>34</v>
      </c>
      <c r="S931" s="34" t="s">
        <v>1217</v>
      </c>
    </row>
    <row r="932" ht="15.75" customHeight="1">
      <c r="A932" s="33">
        <v>46009.74109041667</v>
      </c>
      <c r="B932" s="34" t="s">
        <v>36</v>
      </c>
      <c r="C932" s="34" t="s">
        <v>2037</v>
      </c>
      <c r="D932" s="34" t="s">
        <v>38</v>
      </c>
      <c r="E932" s="34" t="s">
        <v>59</v>
      </c>
      <c r="F932" s="34">
        <v>1.0</v>
      </c>
      <c r="G932" s="34">
        <v>20.0</v>
      </c>
      <c r="H932" s="34" t="s">
        <v>29</v>
      </c>
      <c r="I932" s="34" t="s">
        <v>40</v>
      </c>
      <c r="K932" s="34" t="s">
        <v>2110</v>
      </c>
      <c r="L932" s="34" t="s">
        <v>103</v>
      </c>
      <c r="M932" s="34" t="s">
        <v>418</v>
      </c>
      <c r="N932" s="34" t="s">
        <v>2111</v>
      </c>
      <c r="O932" s="34" t="s">
        <v>40</v>
      </c>
      <c r="P932" s="34">
        <v>16.0</v>
      </c>
      <c r="Q932" s="34">
        <v>2666.0</v>
      </c>
      <c r="R932" s="34" t="s">
        <v>34</v>
      </c>
      <c r="S932" s="34" t="s">
        <v>1217</v>
      </c>
    </row>
    <row r="933" ht="15.75" customHeight="1">
      <c r="A933" s="33">
        <v>46009.95584462963</v>
      </c>
      <c r="B933" s="34" t="s">
        <v>288</v>
      </c>
      <c r="C933" s="34" t="s">
        <v>1914</v>
      </c>
      <c r="D933" s="34" t="s">
        <v>119</v>
      </c>
      <c r="E933" s="34" t="s">
        <v>1023</v>
      </c>
      <c r="F933" s="34">
        <v>1.0</v>
      </c>
      <c r="G933" s="34">
        <v>10.0</v>
      </c>
      <c r="H933" s="34" t="s">
        <v>29</v>
      </c>
      <c r="I933" s="34" t="s">
        <v>40</v>
      </c>
      <c r="J933" s="34" t="s">
        <v>2112</v>
      </c>
      <c r="K933" s="34" t="s">
        <v>2113</v>
      </c>
      <c r="L933" s="34" t="s">
        <v>538</v>
      </c>
      <c r="M933" s="34" t="s">
        <v>2114</v>
      </c>
      <c r="O933" s="34" t="s">
        <v>126</v>
      </c>
      <c r="P933" s="34">
        <v>8.0</v>
      </c>
      <c r="Q933" s="34">
        <v>2666.0</v>
      </c>
      <c r="R933" s="34" t="s">
        <v>34</v>
      </c>
      <c r="S933" s="34" t="s">
        <v>1217</v>
      </c>
    </row>
    <row r="934" ht="15.75" customHeight="1">
      <c r="A934" s="33">
        <v>46010.40610846065</v>
      </c>
      <c r="B934" s="34" t="s">
        <v>1722</v>
      </c>
      <c r="C934" s="34" t="s">
        <v>2071</v>
      </c>
      <c r="D934" s="34" t="s">
        <v>119</v>
      </c>
      <c r="E934" s="34" t="s">
        <v>2115</v>
      </c>
      <c r="F934" s="34">
        <v>1.0</v>
      </c>
      <c r="G934" s="34">
        <v>6.0</v>
      </c>
      <c r="H934" s="34" t="s">
        <v>29</v>
      </c>
      <c r="I934" s="34" t="s">
        <v>40</v>
      </c>
      <c r="K934" s="34" t="s">
        <v>2116</v>
      </c>
      <c r="L934" s="34" t="s">
        <v>2117</v>
      </c>
      <c r="O934" s="34" t="s">
        <v>40</v>
      </c>
      <c r="P934" s="34">
        <v>4.0</v>
      </c>
      <c r="Q934" s="34">
        <v>2666.0</v>
      </c>
      <c r="R934" s="34" t="s">
        <v>34</v>
      </c>
      <c r="S934" s="34" t="s">
        <v>1217</v>
      </c>
    </row>
    <row r="935" ht="15.75" customHeight="1">
      <c r="A935" s="33">
        <v>46010.7026653125</v>
      </c>
      <c r="B935" s="34" t="s">
        <v>2118</v>
      </c>
      <c r="C935" s="34" t="s">
        <v>2071</v>
      </c>
      <c r="D935" s="34" t="s">
        <v>1046</v>
      </c>
      <c r="E935" s="34" t="s">
        <v>128</v>
      </c>
      <c r="F935" s="34">
        <v>1.0</v>
      </c>
      <c r="G935" s="34">
        <v>20.0</v>
      </c>
      <c r="H935" s="34" t="s">
        <v>29</v>
      </c>
      <c r="I935" s="34" t="s">
        <v>40</v>
      </c>
      <c r="K935" s="34" t="s">
        <v>2119</v>
      </c>
      <c r="L935" s="34" t="s">
        <v>140</v>
      </c>
      <c r="N935" s="34" t="s">
        <v>2120</v>
      </c>
      <c r="O935" s="34" t="s">
        <v>29</v>
      </c>
      <c r="P935" s="34">
        <v>16.0</v>
      </c>
      <c r="Q935" s="34">
        <v>2666.0</v>
      </c>
      <c r="R935" s="34" t="s">
        <v>34</v>
      </c>
      <c r="S935" s="34" t="s">
        <v>1225</v>
      </c>
    </row>
    <row r="936" ht="15.75" customHeight="1">
      <c r="A936" s="33">
        <v>46011.37297023148</v>
      </c>
      <c r="B936" s="34" t="s">
        <v>465</v>
      </c>
      <c r="C936" s="34" t="s">
        <v>2071</v>
      </c>
      <c r="D936" s="34" t="s">
        <v>2121</v>
      </c>
      <c r="E936" s="34" t="s">
        <v>2122</v>
      </c>
      <c r="F936" s="34">
        <v>1.0</v>
      </c>
      <c r="G936" s="34">
        <v>10.0</v>
      </c>
      <c r="H936" s="34" t="s">
        <v>40</v>
      </c>
      <c r="J936" s="34" t="s">
        <v>2123</v>
      </c>
      <c r="K936" s="34" t="s">
        <v>2124</v>
      </c>
      <c r="L936" s="34" t="s">
        <v>103</v>
      </c>
      <c r="M936" s="34" t="s">
        <v>2125</v>
      </c>
      <c r="N936" s="34" t="s">
        <v>1415</v>
      </c>
      <c r="O936" s="34" t="s">
        <v>40</v>
      </c>
      <c r="P936" s="34">
        <v>8.0</v>
      </c>
      <c r="Q936" s="34">
        <v>2666.0</v>
      </c>
      <c r="R936" s="34" t="s">
        <v>34</v>
      </c>
      <c r="S936" s="34" t="s">
        <v>1220</v>
      </c>
    </row>
    <row r="937" ht="15.75" customHeight="1">
      <c r="A937" s="33">
        <v>46014.04206126157</v>
      </c>
      <c r="B937" s="34" t="s">
        <v>2126</v>
      </c>
      <c r="C937" s="34">
        <v>7.3</v>
      </c>
      <c r="D937" s="34" t="s">
        <v>38</v>
      </c>
      <c r="E937" s="34" t="s">
        <v>28</v>
      </c>
      <c r="H937" s="34" t="s">
        <v>40</v>
      </c>
      <c r="K937" s="34" t="s">
        <v>2127</v>
      </c>
      <c r="P937" s="34">
        <v>8.0</v>
      </c>
      <c r="Q937" s="34">
        <v>2666.0</v>
      </c>
      <c r="R937" s="34" t="s">
        <v>34</v>
      </c>
      <c r="S937" s="34" t="s">
        <v>1220</v>
      </c>
    </row>
    <row r="938" ht="15.75" customHeight="1">
      <c r="A938" s="33">
        <v>46014.66456616898</v>
      </c>
      <c r="B938" s="34" t="s">
        <v>288</v>
      </c>
      <c r="C938" s="34" t="s">
        <v>2071</v>
      </c>
      <c r="D938" s="34" t="s">
        <v>119</v>
      </c>
      <c r="E938" s="34" t="s">
        <v>473</v>
      </c>
      <c r="F938" s="34">
        <v>1.0</v>
      </c>
      <c r="G938" s="34">
        <v>18.0</v>
      </c>
      <c r="H938" s="34" t="s">
        <v>29</v>
      </c>
      <c r="I938" s="34" t="s">
        <v>40</v>
      </c>
      <c r="J938" s="34" t="s">
        <v>2128</v>
      </c>
      <c r="K938" s="34" t="s">
        <v>516</v>
      </c>
      <c r="L938" s="34" t="s">
        <v>31</v>
      </c>
      <c r="M938" s="34" t="s">
        <v>2129</v>
      </c>
      <c r="O938" s="34" t="s">
        <v>40</v>
      </c>
      <c r="P938" s="34">
        <v>16.0</v>
      </c>
      <c r="Q938" s="34">
        <v>2666.0</v>
      </c>
      <c r="R938" s="34" t="s">
        <v>34</v>
      </c>
      <c r="S938" s="34" t="s">
        <v>1225</v>
      </c>
    </row>
    <row r="939" ht="15.75" customHeight="1">
      <c r="A939" s="33">
        <v>46015.561017395834</v>
      </c>
      <c r="B939" s="34" t="s">
        <v>1796</v>
      </c>
      <c r="C939" s="34" t="s">
        <v>2071</v>
      </c>
      <c r="D939" s="34" t="s">
        <v>27</v>
      </c>
      <c r="E939" s="34" t="s">
        <v>529</v>
      </c>
      <c r="F939" s="34">
        <v>1.0</v>
      </c>
      <c r="G939" s="34">
        <v>18.0</v>
      </c>
      <c r="H939" s="34" t="s">
        <v>29</v>
      </c>
      <c r="I939" s="34" t="s">
        <v>40</v>
      </c>
      <c r="K939" s="34" t="s">
        <v>2130</v>
      </c>
      <c r="N939" s="34" t="s">
        <v>2131</v>
      </c>
      <c r="O939" s="34" t="s">
        <v>126</v>
      </c>
      <c r="P939" s="34">
        <v>16.0</v>
      </c>
      <c r="Q939" s="34">
        <v>2666.0</v>
      </c>
      <c r="R939" s="34" t="s">
        <v>34</v>
      </c>
      <c r="S939" s="34" t="s">
        <v>1225</v>
      </c>
    </row>
    <row r="940" ht="15.75" customHeight="1">
      <c r="A940" s="33">
        <v>46020.93337586806</v>
      </c>
      <c r="B940" s="34" t="s">
        <v>1796</v>
      </c>
      <c r="C940" s="34" t="s">
        <v>2071</v>
      </c>
      <c r="D940" s="34" t="s">
        <v>38</v>
      </c>
      <c r="E940" s="34" t="s">
        <v>2132</v>
      </c>
      <c r="F940" s="34">
        <v>1.0</v>
      </c>
      <c r="G940" s="34">
        <v>10.0</v>
      </c>
      <c r="H940" s="34" t="s">
        <v>29</v>
      </c>
      <c r="I940" s="34" t="s">
        <v>40</v>
      </c>
      <c r="K940" s="34" t="s">
        <v>2133</v>
      </c>
      <c r="N940" s="34" t="s">
        <v>2134</v>
      </c>
      <c r="O940" s="34" t="s">
        <v>40</v>
      </c>
      <c r="P940" s="34">
        <v>8.0</v>
      </c>
      <c r="Q940" s="34">
        <v>2400.0</v>
      </c>
      <c r="R940" s="34" t="s">
        <v>34</v>
      </c>
      <c r="S940" s="34" t="s">
        <v>1220</v>
      </c>
    </row>
    <row r="941" ht="15.75" customHeight="1">
      <c r="A941" s="33">
        <v>46024.64689538194</v>
      </c>
      <c r="B941" s="34" t="s">
        <v>294</v>
      </c>
      <c r="C941" s="34" t="s">
        <v>2071</v>
      </c>
      <c r="D941" s="34" t="s">
        <v>101</v>
      </c>
      <c r="E941" s="34" t="s">
        <v>2135</v>
      </c>
      <c r="F941" s="34">
        <v>1.0</v>
      </c>
      <c r="G941" s="34">
        <v>20.0</v>
      </c>
      <c r="H941" s="34" t="s">
        <v>29</v>
      </c>
      <c r="I941" s="34" t="s">
        <v>40</v>
      </c>
      <c r="K941" s="34" t="s">
        <v>2136</v>
      </c>
      <c r="N941" s="34" t="s">
        <v>2137</v>
      </c>
      <c r="O941" s="34" t="s">
        <v>126</v>
      </c>
      <c r="P941" s="34">
        <v>16.0</v>
      </c>
      <c r="Q941" s="34">
        <v>2666.0</v>
      </c>
      <c r="R941" s="34" t="s">
        <v>34</v>
      </c>
      <c r="S941" s="34" t="s">
        <v>1225</v>
      </c>
    </row>
    <row r="942" ht="15.75" customHeight="1">
      <c r="A942" s="33">
        <v>46026.47695114583</v>
      </c>
      <c r="B942" s="34" t="s">
        <v>1796</v>
      </c>
      <c r="C942" s="34" t="s">
        <v>2138</v>
      </c>
      <c r="D942" s="34" t="s">
        <v>2139</v>
      </c>
      <c r="E942" s="34" t="s">
        <v>2140</v>
      </c>
      <c r="F942" s="34">
        <v>1.0</v>
      </c>
      <c r="G942" s="34">
        <v>18.0</v>
      </c>
      <c r="H942" s="34" t="s">
        <v>29</v>
      </c>
      <c r="I942" s="34" t="s">
        <v>40</v>
      </c>
      <c r="J942" s="34" t="s">
        <v>2141</v>
      </c>
      <c r="K942" s="34" t="s">
        <v>2142</v>
      </c>
      <c r="L942" s="34" t="s">
        <v>186</v>
      </c>
      <c r="M942" s="34" t="s">
        <v>2143</v>
      </c>
      <c r="N942" s="34" t="s">
        <v>2144</v>
      </c>
      <c r="O942" s="34" t="s">
        <v>40</v>
      </c>
      <c r="P942" s="34">
        <v>16.0</v>
      </c>
      <c r="Q942" s="34">
        <v>2400.0</v>
      </c>
      <c r="R942" s="34" t="s">
        <v>34</v>
      </c>
      <c r="S942" s="34" t="s">
        <v>1225</v>
      </c>
    </row>
    <row r="943" ht="15.75" customHeight="1">
      <c r="A943" s="33">
        <v>46027.016662291666</v>
      </c>
      <c r="B943" s="34" t="s">
        <v>2</v>
      </c>
      <c r="C943" s="34" t="s">
        <v>1173</v>
      </c>
      <c r="D943" s="34" t="s">
        <v>27</v>
      </c>
      <c r="E943" s="34" t="s">
        <v>1014</v>
      </c>
      <c r="F943" s="34">
        <v>2.0</v>
      </c>
      <c r="G943" s="34">
        <v>32.0</v>
      </c>
      <c r="H943" s="34" t="s">
        <v>29</v>
      </c>
      <c r="I943" s="34" t="s">
        <v>40</v>
      </c>
      <c r="K943" s="34" t="s">
        <v>2145</v>
      </c>
      <c r="L943" s="34" t="s">
        <v>186</v>
      </c>
      <c r="M943" s="34" t="s">
        <v>472</v>
      </c>
      <c r="O943" s="34" t="s">
        <v>40</v>
      </c>
      <c r="P943" s="34">
        <v>16.0</v>
      </c>
      <c r="Q943" s="34">
        <v>3200.0</v>
      </c>
      <c r="R943" s="34" t="s">
        <v>34</v>
      </c>
      <c r="S943" s="34" t="s">
        <v>1225</v>
      </c>
    </row>
    <row r="944" ht="15.75" customHeight="1">
      <c r="A944" s="33">
        <v>46027.54107790509</v>
      </c>
      <c r="B944" s="34" t="s">
        <v>465</v>
      </c>
      <c r="C944" s="34" t="s">
        <v>2071</v>
      </c>
      <c r="D944" s="34" t="s">
        <v>38</v>
      </c>
      <c r="E944" s="34" t="s">
        <v>2146</v>
      </c>
      <c r="F944" s="34">
        <v>1.0</v>
      </c>
      <c r="G944" s="34">
        <v>18.0</v>
      </c>
      <c r="H944" s="34" t="s">
        <v>29</v>
      </c>
      <c r="I944" s="34" t="s">
        <v>40</v>
      </c>
      <c r="K944" s="34" t="s">
        <v>2059</v>
      </c>
      <c r="L944" s="34" t="s">
        <v>2147</v>
      </c>
      <c r="O944" s="34" t="s">
        <v>40</v>
      </c>
      <c r="P944" s="34">
        <v>16.0</v>
      </c>
      <c r="Q944" s="34">
        <v>3200.0</v>
      </c>
      <c r="R944" s="34" t="s">
        <v>34</v>
      </c>
    </row>
    <row r="945" ht="15.75" customHeight="1">
      <c r="A945" s="33">
        <v>46027.54775395834</v>
      </c>
      <c r="B945" s="34" t="s">
        <v>1796</v>
      </c>
      <c r="C945" s="34" t="s">
        <v>2071</v>
      </c>
      <c r="D945" s="34" t="s">
        <v>119</v>
      </c>
      <c r="E945" s="34" t="s">
        <v>1023</v>
      </c>
      <c r="F945" s="34">
        <v>1.0</v>
      </c>
      <c r="G945" s="34">
        <v>10.0</v>
      </c>
      <c r="H945" s="34" t="s">
        <v>29</v>
      </c>
      <c r="I945" s="34" t="s">
        <v>40</v>
      </c>
      <c r="K945" s="34" t="s">
        <v>2059</v>
      </c>
      <c r="L945" s="34" t="s">
        <v>608</v>
      </c>
      <c r="M945" s="34" t="s">
        <v>609</v>
      </c>
      <c r="O945" s="34" t="s">
        <v>40</v>
      </c>
      <c r="P945" s="34">
        <v>8.0</v>
      </c>
      <c r="Q945" s="34">
        <v>2666.0</v>
      </c>
      <c r="R945" s="34" t="s">
        <v>34</v>
      </c>
    </row>
    <row r="946" ht="15.75" customHeight="1">
      <c r="A946" s="33">
        <v>46027.5642521875</v>
      </c>
      <c r="B946" s="34" t="s">
        <v>124</v>
      </c>
      <c r="C946" s="34" t="s">
        <v>2071</v>
      </c>
      <c r="D946" s="34" t="s">
        <v>38</v>
      </c>
      <c r="E946" s="34" t="s">
        <v>153</v>
      </c>
      <c r="F946" s="34">
        <v>1.0</v>
      </c>
      <c r="G946" s="34">
        <v>10.0</v>
      </c>
      <c r="H946" s="34" t="s">
        <v>29</v>
      </c>
      <c r="I946" s="34" t="s">
        <v>40</v>
      </c>
      <c r="J946" s="34" t="s">
        <v>2148</v>
      </c>
      <c r="K946" s="34" t="s">
        <v>2149</v>
      </c>
      <c r="L946" s="34" t="s">
        <v>219</v>
      </c>
      <c r="M946" s="34" t="s">
        <v>2150</v>
      </c>
      <c r="N946" s="34" t="s">
        <v>2151</v>
      </c>
      <c r="O946" s="34" t="s">
        <v>40</v>
      </c>
      <c r="P946" s="34">
        <v>8.0</v>
      </c>
      <c r="Q946" s="34">
        <v>3200.0</v>
      </c>
      <c r="R946" s="34" t="s">
        <v>34</v>
      </c>
      <c r="S946" s="34" t="s">
        <v>1217</v>
      </c>
    </row>
    <row r="947" ht="15.75" customHeight="1">
      <c r="A947" s="33">
        <v>46028.83590131944</v>
      </c>
      <c r="B947" s="34" t="s">
        <v>254</v>
      </c>
      <c r="C947" s="34" t="s">
        <v>2037</v>
      </c>
      <c r="D947" s="34" t="s">
        <v>565</v>
      </c>
      <c r="E947" s="34" t="s">
        <v>1939</v>
      </c>
      <c r="F947" s="34">
        <v>2.0</v>
      </c>
      <c r="G947" s="34">
        <v>48.0</v>
      </c>
      <c r="H947" s="34" t="s">
        <v>40</v>
      </c>
      <c r="I947" s="34" t="s">
        <v>40</v>
      </c>
      <c r="J947" s="34" t="s">
        <v>2152</v>
      </c>
      <c r="K947" s="34" t="s">
        <v>2153</v>
      </c>
      <c r="L947" s="34" t="s">
        <v>111</v>
      </c>
      <c r="M947" s="41" t="s">
        <v>50</v>
      </c>
      <c r="O947" s="34" t="s">
        <v>29</v>
      </c>
      <c r="P947" s="34">
        <v>16.0</v>
      </c>
      <c r="Q947" s="34">
        <v>2666.0</v>
      </c>
      <c r="R947" s="34" t="s">
        <v>34</v>
      </c>
      <c r="S947" s="34" t="s">
        <v>1225</v>
      </c>
    </row>
    <row r="948" ht="15.75" customHeight="1">
      <c r="A948" s="33">
        <v>46029.702415625</v>
      </c>
      <c r="B948" s="34" t="s">
        <v>1722</v>
      </c>
      <c r="C948" s="34" t="s">
        <v>2071</v>
      </c>
      <c r="D948" s="34" t="s">
        <v>1899</v>
      </c>
      <c r="E948" s="34" t="s">
        <v>2154</v>
      </c>
      <c r="F948" s="34">
        <v>1.0</v>
      </c>
      <c r="G948" s="34">
        <v>6.0</v>
      </c>
      <c r="H948" s="34" t="s">
        <v>29</v>
      </c>
      <c r="I948" s="34" t="s">
        <v>40</v>
      </c>
      <c r="K948" s="34" t="s">
        <v>2155</v>
      </c>
      <c r="L948" s="34" t="s">
        <v>2156</v>
      </c>
      <c r="M948" s="34" t="s">
        <v>2157</v>
      </c>
      <c r="O948" s="34" t="s">
        <v>40</v>
      </c>
      <c r="P948" s="34">
        <v>4.0</v>
      </c>
      <c r="Q948" s="34">
        <v>3200.0</v>
      </c>
      <c r="R948" s="34" t="s">
        <v>34</v>
      </c>
      <c r="S948" s="34" t="s">
        <v>1220</v>
      </c>
    </row>
    <row r="949" ht="15.75" customHeight="1">
      <c r="A949" s="33">
        <v>46030.85152094907</v>
      </c>
      <c r="B949" s="34" t="s">
        <v>138</v>
      </c>
      <c r="C949" s="34" t="s">
        <v>2037</v>
      </c>
      <c r="D949" s="34" t="s">
        <v>86</v>
      </c>
      <c r="E949" s="34" t="s">
        <v>1534</v>
      </c>
      <c r="F949" s="34">
        <v>2.0</v>
      </c>
      <c r="G949" s="34">
        <v>32.0</v>
      </c>
      <c r="H949" s="34" t="s">
        <v>29</v>
      </c>
      <c r="I949" s="34" t="s">
        <v>40</v>
      </c>
      <c r="K949" s="34" t="s">
        <v>2158</v>
      </c>
      <c r="L949" s="34" t="s">
        <v>585</v>
      </c>
      <c r="M949" s="41" t="s">
        <v>1528</v>
      </c>
      <c r="O949" s="34" t="s">
        <v>40</v>
      </c>
      <c r="P949" s="34">
        <v>16.0</v>
      </c>
      <c r="Q949" s="34">
        <v>2666.0</v>
      </c>
      <c r="R949" s="34" t="s">
        <v>34</v>
      </c>
      <c r="S949" s="34" t="s">
        <v>1220</v>
      </c>
    </row>
    <row r="950" ht="15.75" customHeight="1">
      <c r="A950" s="33">
        <v>46032.62890005787</v>
      </c>
      <c r="B950" s="34" t="s">
        <v>1642</v>
      </c>
      <c r="C950" s="34" t="s">
        <v>2071</v>
      </c>
      <c r="D950" s="34" t="s">
        <v>922</v>
      </c>
      <c r="E950" s="34" t="s">
        <v>923</v>
      </c>
      <c r="F950" s="34">
        <v>1.0</v>
      </c>
      <c r="G950" s="34">
        <v>20.0</v>
      </c>
      <c r="H950" s="34" t="s">
        <v>29</v>
      </c>
      <c r="I950" s="34" t="s">
        <v>40</v>
      </c>
      <c r="J950" s="34" t="s">
        <v>2159</v>
      </c>
      <c r="K950" s="34" t="s">
        <v>2160</v>
      </c>
      <c r="O950" s="34" t="s">
        <v>40</v>
      </c>
      <c r="P950" s="34">
        <v>16.0</v>
      </c>
      <c r="Q950" s="34">
        <v>3200.0</v>
      </c>
      <c r="R950" s="34" t="s">
        <v>34</v>
      </c>
      <c r="S950" s="34" t="s">
        <v>1225</v>
      </c>
    </row>
    <row r="951" ht="15.75" customHeight="1">
      <c r="A951" s="33">
        <v>46033.81075758101</v>
      </c>
      <c r="B951" s="34" t="s">
        <v>288</v>
      </c>
      <c r="C951" s="34" t="s">
        <v>1951</v>
      </c>
      <c r="D951" s="34" t="s">
        <v>38</v>
      </c>
      <c r="E951" s="34" t="s">
        <v>2161</v>
      </c>
      <c r="F951" s="34">
        <v>1.0</v>
      </c>
      <c r="G951" s="34">
        <v>10.0</v>
      </c>
      <c r="H951" s="34" t="s">
        <v>29</v>
      </c>
      <c r="I951" s="34" t="s">
        <v>40</v>
      </c>
      <c r="K951" s="34" t="s">
        <v>2162</v>
      </c>
      <c r="L951" s="34" t="s">
        <v>1066</v>
      </c>
      <c r="M951" s="34" t="s">
        <v>2163</v>
      </c>
      <c r="O951" s="34" t="s">
        <v>126</v>
      </c>
      <c r="P951" s="34">
        <v>8.0</v>
      </c>
      <c r="Q951" s="34">
        <v>2666.0</v>
      </c>
      <c r="R951" s="34" t="s">
        <v>34</v>
      </c>
      <c r="S951" s="34" t="s">
        <v>1220</v>
      </c>
    </row>
    <row r="952" ht="15.75" customHeight="1">
      <c r="A952" s="33">
        <v>46034.70989221065</v>
      </c>
      <c r="B952" s="34" t="s">
        <v>2</v>
      </c>
      <c r="C952" s="34" t="s">
        <v>2071</v>
      </c>
      <c r="D952" s="34" t="s">
        <v>2164</v>
      </c>
      <c r="E952" s="34" t="s">
        <v>28</v>
      </c>
      <c r="F952" s="34">
        <v>2.0</v>
      </c>
      <c r="G952" s="34">
        <v>32.0</v>
      </c>
      <c r="H952" s="34" t="s">
        <v>29</v>
      </c>
      <c r="I952" s="34" t="s">
        <v>40</v>
      </c>
      <c r="J952" s="34" t="s">
        <v>2165</v>
      </c>
      <c r="K952" s="34" t="s">
        <v>2166</v>
      </c>
      <c r="L952" s="34" t="s">
        <v>111</v>
      </c>
      <c r="M952" s="34" t="s">
        <v>2164</v>
      </c>
      <c r="O952" s="34" t="s">
        <v>29</v>
      </c>
      <c r="P952" s="34">
        <v>16.0</v>
      </c>
      <c r="Q952" s="34">
        <v>2666.0</v>
      </c>
      <c r="R952" s="34" t="s">
        <v>34</v>
      </c>
      <c r="S952" s="34" t="s">
        <v>1225</v>
      </c>
    </row>
    <row r="953" ht="15.75" customHeight="1">
      <c r="A953" s="33">
        <v>46035.64809967593</v>
      </c>
      <c r="B953" s="34" t="s">
        <v>1399</v>
      </c>
      <c r="C953" s="34" t="s">
        <v>2071</v>
      </c>
      <c r="D953" s="34" t="s">
        <v>27</v>
      </c>
      <c r="E953" s="34" t="s">
        <v>2167</v>
      </c>
      <c r="F953" s="34">
        <v>2.0</v>
      </c>
      <c r="G953" s="34">
        <v>32.0</v>
      </c>
      <c r="H953" s="34" t="s">
        <v>29</v>
      </c>
      <c r="I953" s="34" t="s">
        <v>40</v>
      </c>
      <c r="K953" s="34" t="s">
        <v>1234</v>
      </c>
      <c r="L953" s="34" t="s">
        <v>111</v>
      </c>
      <c r="M953" s="41" t="s">
        <v>50</v>
      </c>
      <c r="N953" s="34" t="s">
        <v>814</v>
      </c>
      <c r="O953" s="34" t="s">
        <v>40</v>
      </c>
      <c r="P953" s="34">
        <v>32.0</v>
      </c>
      <c r="Q953" s="34">
        <v>3200.0</v>
      </c>
      <c r="R953" s="34" t="s">
        <v>34</v>
      </c>
      <c r="S953" s="34" t="s">
        <v>1217</v>
      </c>
    </row>
    <row r="954" ht="15.75" customHeight="1">
      <c r="A954" s="33">
        <v>46035.65847336805</v>
      </c>
      <c r="B954" s="34" t="s">
        <v>1642</v>
      </c>
      <c r="C954" s="34" t="s">
        <v>2071</v>
      </c>
      <c r="D954" s="34" t="s">
        <v>27</v>
      </c>
      <c r="E954" s="34" t="s">
        <v>1014</v>
      </c>
      <c r="F954" s="34">
        <v>1.0</v>
      </c>
      <c r="G954" s="34">
        <v>20.0</v>
      </c>
      <c r="H954" s="34" t="s">
        <v>29</v>
      </c>
      <c r="I954" s="34" t="s">
        <v>40</v>
      </c>
      <c r="K954" s="34" t="s">
        <v>2168</v>
      </c>
      <c r="L954" s="34" t="s">
        <v>1156</v>
      </c>
      <c r="M954" s="41" t="s">
        <v>2169</v>
      </c>
      <c r="O954" s="34" t="s">
        <v>40</v>
      </c>
      <c r="P954" s="34">
        <v>16.0</v>
      </c>
      <c r="Q954" s="34">
        <v>3200.0</v>
      </c>
      <c r="R954" s="34" t="s">
        <v>34</v>
      </c>
      <c r="S954" s="34" t="s">
        <v>1225</v>
      </c>
    </row>
    <row r="955" ht="15.75" customHeight="1">
      <c r="A955" s="33">
        <v>46036.876999976856</v>
      </c>
      <c r="B955" s="34" t="s">
        <v>1796</v>
      </c>
      <c r="C955" s="34" t="s">
        <v>1963</v>
      </c>
      <c r="D955" s="34" t="s">
        <v>101</v>
      </c>
      <c r="E955" s="34" t="s">
        <v>1818</v>
      </c>
      <c r="F955" s="34">
        <v>1.0</v>
      </c>
      <c r="G955" s="34">
        <v>10.0</v>
      </c>
      <c r="H955" s="34" t="s">
        <v>29</v>
      </c>
      <c r="I955" s="34" t="s">
        <v>40</v>
      </c>
      <c r="K955" s="34" t="s">
        <v>2170</v>
      </c>
      <c r="O955" s="34" t="s">
        <v>40</v>
      </c>
      <c r="P955" s="34">
        <v>8.0</v>
      </c>
      <c r="Q955" s="34">
        <v>2666.0</v>
      </c>
      <c r="R955" s="34" t="s">
        <v>34</v>
      </c>
      <c r="S955" s="34" t="s">
        <v>1217</v>
      </c>
    </row>
    <row r="956" ht="15.75" customHeight="1">
      <c r="A956" s="33">
        <v>46037.59847038194</v>
      </c>
      <c r="B956" s="34" t="s">
        <v>1796</v>
      </c>
      <c r="C956" s="34" t="s">
        <v>2071</v>
      </c>
      <c r="D956" s="34" t="s">
        <v>565</v>
      </c>
      <c r="E956" s="34" t="s">
        <v>2171</v>
      </c>
      <c r="F956" s="34">
        <v>1.0</v>
      </c>
      <c r="G956" s="34">
        <v>34.0</v>
      </c>
      <c r="H956" s="34" t="s">
        <v>29</v>
      </c>
      <c r="I956" s="34" t="s">
        <v>40</v>
      </c>
      <c r="K956" s="34" t="s">
        <v>2172</v>
      </c>
      <c r="L956" s="34" t="s">
        <v>111</v>
      </c>
      <c r="N956" s="34" t="s">
        <v>2173</v>
      </c>
      <c r="O956" s="34" t="s">
        <v>40</v>
      </c>
      <c r="P956" s="34">
        <v>32.0</v>
      </c>
      <c r="Q956" s="34">
        <v>2666.0</v>
      </c>
      <c r="R956" s="34" t="s">
        <v>34</v>
      </c>
      <c r="S956" s="34" t="s">
        <v>1225</v>
      </c>
    </row>
    <row r="957" ht="15.75" customHeight="1">
      <c r="A957" s="33">
        <v>46038.657540844906</v>
      </c>
      <c r="B957" s="34" t="s">
        <v>1642</v>
      </c>
      <c r="C957" s="34" t="s">
        <v>2071</v>
      </c>
      <c r="D957" s="34" t="s">
        <v>38</v>
      </c>
      <c r="E957" s="34" t="s">
        <v>59</v>
      </c>
      <c r="F957" s="34">
        <v>1.0</v>
      </c>
      <c r="G957" s="34">
        <v>20.0</v>
      </c>
      <c r="H957" s="34" t="s">
        <v>29</v>
      </c>
      <c r="I957" s="34" t="s">
        <v>40</v>
      </c>
      <c r="K957" s="34" t="s">
        <v>2174</v>
      </c>
      <c r="M957" s="34" t="s">
        <v>210</v>
      </c>
      <c r="O957" s="34" t="s">
        <v>40</v>
      </c>
      <c r="P957" s="34">
        <v>16.0</v>
      </c>
      <c r="Q957" s="34">
        <v>2666.0</v>
      </c>
      <c r="R957" s="34" t="s">
        <v>34</v>
      </c>
      <c r="S957" s="34" t="s">
        <v>1220</v>
      </c>
    </row>
    <row r="958" ht="15.75" customHeight="1">
      <c r="A958" s="33">
        <v>46038.66967270833</v>
      </c>
      <c r="B958" s="34" t="s">
        <v>2</v>
      </c>
      <c r="C958" s="34" t="s">
        <v>2071</v>
      </c>
      <c r="D958" s="34" t="s">
        <v>127</v>
      </c>
      <c r="E958" s="34" t="s">
        <v>447</v>
      </c>
      <c r="F958" s="34">
        <v>2.0</v>
      </c>
      <c r="G958" s="34">
        <v>32.0</v>
      </c>
      <c r="H958" s="34" t="s">
        <v>29</v>
      </c>
      <c r="I958" s="34" t="s">
        <v>40</v>
      </c>
      <c r="K958" s="34" t="s">
        <v>2175</v>
      </c>
      <c r="O958" s="34" t="s">
        <v>40</v>
      </c>
      <c r="P958" s="34">
        <v>16.0</v>
      </c>
      <c r="Q958" s="34">
        <v>2400.0</v>
      </c>
      <c r="R958" s="34" t="s">
        <v>34</v>
      </c>
      <c r="S958" s="34" t="s">
        <v>1225</v>
      </c>
    </row>
    <row r="959" ht="15.75" customHeight="1">
      <c r="A959" s="33">
        <v>46039.50438427083</v>
      </c>
      <c r="B959" s="34" t="s">
        <v>1796</v>
      </c>
      <c r="C959" s="34" t="s">
        <v>2071</v>
      </c>
      <c r="D959" s="34" t="s">
        <v>1186</v>
      </c>
      <c r="E959" s="34" t="s">
        <v>2047</v>
      </c>
      <c r="F959" s="34">
        <v>1.0</v>
      </c>
      <c r="G959" s="34">
        <v>10.0</v>
      </c>
      <c r="H959" s="34" t="s">
        <v>29</v>
      </c>
      <c r="I959" s="34" t="s">
        <v>40</v>
      </c>
      <c r="K959" s="34" t="s">
        <v>2176</v>
      </c>
      <c r="L959" s="34" t="s">
        <v>1305</v>
      </c>
      <c r="O959" s="34" t="s">
        <v>126</v>
      </c>
      <c r="P959" s="34">
        <v>8.0</v>
      </c>
      <c r="Q959" s="34">
        <v>3200.0</v>
      </c>
      <c r="R959" s="34" t="s">
        <v>34</v>
      </c>
      <c r="S959" s="34" t="s">
        <v>1220</v>
      </c>
    </row>
    <row r="960" ht="15.75" customHeight="1">
      <c r="A960" s="33">
        <v>46044.33049868056</v>
      </c>
      <c r="B960" s="34" t="s">
        <v>1796</v>
      </c>
      <c r="C960" s="34" t="s">
        <v>2071</v>
      </c>
      <c r="D960" s="34" t="s">
        <v>107</v>
      </c>
      <c r="E960" s="34" t="s">
        <v>2177</v>
      </c>
      <c r="F960" s="34">
        <v>1.0</v>
      </c>
      <c r="G960" s="34">
        <v>6.0</v>
      </c>
      <c r="H960" s="34" t="s">
        <v>29</v>
      </c>
      <c r="I960" s="34" t="s">
        <v>40</v>
      </c>
      <c r="K960" s="34" t="s">
        <v>1429</v>
      </c>
      <c r="L960" s="34" t="s">
        <v>436</v>
      </c>
      <c r="M960" s="34" t="s">
        <v>2178</v>
      </c>
      <c r="O960" s="34" t="s">
        <v>40</v>
      </c>
      <c r="P960" s="34">
        <v>4.0</v>
      </c>
      <c r="Q960" s="34">
        <v>3200.0</v>
      </c>
      <c r="R960" s="34" t="s">
        <v>34</v>
      </c>
      <c r="S960" s="34" t="s">
        <v>1217</v>
      </c>
    </row>
    <row r="961" ht="15.75" customHeight="1">
      <c r="A961" s="33">
        <v>46044.62703902778</v>
      </c>
      <c r="B961" s="34" t="s">
        <v>1642</v>
      </c>
      <c r="C961" s="34" t="s">
        <v>2071</v>
      </c>
      <c r="D961" s="34" t="s">
        <v>1368</v>
      </c>
      <c r="E961" s="34" t="s">
        <v>2179</v>
      </c>
      <c r="F961" s="34">
        <v>1.0</v>
      </c>
      <c r="G961" s="34">
        <v>12.0</v>
      </c>
      <c r="H961" s="34" t="s">
        <v>29</v>
      </c>
      <c r="I961" s="34" t="s">
        <v>40</v>
      </c>
      <c r="K961" s="34" t="s">
        <v>607</v>
      </c>
      <c r="L961" s="34" t="s">
        <v>608</v>
      </c>
      <c r="N961" s="34" t="s">
        <v>2180</v>
      </c>
      <c r="O961" s="34" t="s">
        <v>40</v>
      </c>
      <c r="P961" s="34">
        <v>8.0</v>
      </c>
      <c r="Q961" s="34">
        <v>2666.0</v>
      </c>
      <c r="R961" s="34" t="s">
        <v>34</v>
      </c>
      <c r="S961" s="34" t="s">
        <v>1217</v>
      </c>
    </row>
    <row r="962" ht="15.75" customHeight="1">
      <c r="A962" s="33">
        <v>46045.363189027776</v>
      </c>
      <c r="B962" s="34" t="s">
        <v>118</v>
      </c>
      <c r="C962" s="34" t="s">
        <v>2071</v>
      </c>
      <c r="D962" s="34" t="s">
        <v>119</v>
      </c>
      <c r="E962" s="34" t="s">
        <v>473</v>
      </c>
      <c r="F962" s="34">
        <v>1.0</v>
      </c>
      <c r="G962" s="34">
        <v>18.0</v>
      </c>
      <c r="H962" s="34" t="s">
        <v>40</v>
      </c>
      <c r="I962" s="34" t="s">
        <v>40</v>
      </c>
      <c r="K962" s="34" t="s">
        <v>2181</v>
      </c>
      <c r="L962" s="34" t="s">
        <v>2182</v>
      </c>
      <c r="M962" s="34" t="s">
        <v>260</v>
      </c>
      <c r="O962" s="34" t="s">
        <v>40</v>
      </c>
      <c r="P962" s="34">
        <v>16.0</v>
      </c>
      <c r="Q962" s="34">
        <v>2666.0</v>
      </c>
      <c r="R962" s="34" t="s">
        <v>34</v>
      </c>
      <c r="S962" s="34" t="s">
        <v>1225</v>
      </c>
    </row>
    <row r="963" ht="15.75" customHeight="1">
      <c r="A963" s="33">
        <v>46045.48434625</v>
      </c>
      <c r="B963" s="34" t="s">
        <v>465</v>
      </c>
      <c r="C963" s="34" t="s">
        <v>2071</v>
      </c>
      <c r="D963" s="34" t="s">
        <v>38</v>
      </c>
      <c r="E963" s="34" t="s">
        <v>68</v>
      </c>
      <c r="F963" s="34">
        <v>1.0</v>
      </c>
      <c r="G963" s="34">
        <v>10.0</v>
      </c>
      <c r="H963" s="34" t="s">
        <v>29</v>
      </c>
      <c r="I963" s="34" t="s">
        <v>40</v>
      </c>
      <c r="K963" s="34" t="s">
        <v>2124</v>
      </c>
      <c r="L963" s="34" t="s">
        <v>103</v>
      </c>
      <c r="M963" s="41" t="s">
        <v>122</v>
      </c>
      <c r="N963" s="34" t="s">
        <v>2183</v>
      </c>
      <c r="O963" s="34" t="s">
        <v>40</v>
      </c>
      <c r="P963" s="34">
        <v>8.0</v>
      </c>
      <c r="Q963" s="34">
        <v>2666.0</v>
      </c>
      <c r="R963" s="34" t="s">
        <v>34</v>
      </c>
      <c r="S963" s="34" t="s">
        <v>1220</v>
      </c>
    </row>
    <row r="964" ht="15.75" customHeight="1">
      <c r="A964" s="33">
        <v>46046.629697662036</v>
      </c>
      <c r="B964" s="34" t="s">
        <v>298</v>
      </c>
      <c r="C964" s="34" t="s">
        <v>2028</v>
      </c>
      <c r="D964" s="34" t="s">
        <v>101</v>
      </c>
      <c r="E964" s="34" t="s">
        <v>2184</v>
      </c>
      <c r="F964" s="34">
        <v>1.0</v>
      </c>
      <c r="G964" s="34">
        <v>8.0</v>
      </c>
      <c r="H964" s="34" t="s">
        <v>29</v>
      </c>
      <c r="I964" s="34" t="s">
        <v>40</v>
      </c>
      <c r="K964" s="34" t="s">
        <v>2185</v>
      </c>
      <c r="L964" s="34" t="s">
        <v>608</v>
      </c>
      <c r="N964" s="34" t="s">
        <v>2186</v>
      </c>
      <c r="O964" s="34" t="s">
        <v>40</v>
      </c>
      <c r="P964" s="34">
        <v>8.0</v>
      </c>
      <c r="Q964" s="34">
        <v>1866.0</v>
      </c>
      <c r="R964" s="34" t="s">
        <v>1219</v>
      </c>
      <c r="S964" s="34" t="s">
        <v>1225</v>
      </c>
    </row>
    <row r="965" ht="15.75" customHeight="1">
      <c r="A965" s="33">
        <v>46051.38787228009</v>
      </c>
      <c r="B965" s="34" t="s">
        <v>1642</v>
      </c>
      <c r="C965" s="34" t="s">
        <v>2071</v>
      </c>
      <c r="D965" s="34" t="s">
        <v>119</v>
      </c>
      <c r="E965" s="34" t="s">
        <v>2187</v>
      </c>
      <c r="F965" s="34">
        <v>1.0</v>
      </c>
      <c r="G965" s="34">
        <v>20.0</v>
      </c>
      <c r="H965" s="34" t="s">
        <v>29</v>
      </c>
      <c r="I965" s="34" t="s">
        <v>40</v>
      </c>
      <c r="J965" s="34" t="s">
        <v>2188</v>
      </c>
      <c r="K965" s="34" t="s">
        <v>1429</v>
      </c>
      <c r="N965" s="34" t="s">
        <v>2189</v>
      </c>
      <c r="O965" s="34" t="s">
        <v>29</v>
      </c>
      <c r="P965" s="34">
        <v>16.0</v>
      </c>
      <c r="Q965" s="34">
        <v>3200.0</v>
      </c>
      <c r="R965" s="34" t="s">
        <v>34</v>
      </c>
      <c r="S965" s="34" t="s">
        <v>1225</v>
      </c>
    </row>
    <row r="966" ht="15.75" customHeight="1">
      <c r="A966" s="33">
        <v>46053.79996013889</v>
      </c>
      <c r="B966" s="34" t="s">
        <v>2</v>
      </c>
      <c r="C966" s="34" t="s">
        <v>2190</v>
      </c>
      <c r="D966" s="34" t="s">
        <v>38</v>
      </c>
      <c r="E966" s="34" t="s">
        <v>368</v>
      </c>
      <c r="F966" s="34">
        <v>2.0</v>
      </c>
      <c r="G966" s="34">
        <v>32.0</v>
      </c>
      <c r="H966" s="34" t="s">
        <v>29</v>
      </c>
      <c r="I966" s="34" t="s">
        <v>40</v>
      </c>
      <c r="K966" s="34" t="s">
        <v>2191</v>
      </c>
      <c r="L966" s="34" t="s">
        <v>445</v>
      </c>
      <c r="M966" s="41" t="s">
        <v>2192</v>
      </c>
      <c r="O966" s="34" t="s">
        <v>40</v>
      </c>
      <c r="P966" s="34">
        <v>16.0</v>
      </c>
      <c r="Q966" s="34">
        <v>3200.0</v>
      </c>
      <c r="R966" s="34" t="s">
        <v>34</v>
      </c>
    </row>
    <row r="967" ht="15.75" customHeight="1">
      <c r="A967" s="33">
        <v>46057.747197766206</v>
      </c>
      <c r="B967" s="34" t="s">
        <v>1992</v>
      </c>
      <c r="C967" s="34" t="s">
        <v>2190</v>
      </c>
      <c r="D967" s="34" t="s">
        <v>565</v>
      </c>
      <c r="E967" s="34" t="s">
        <v>566</v>
      </c>
      <c r="F967" s="34">
        <v>2.0</v>
      </c>
      <c r="G967" s="34">
        <v>32.0</v>
      </c>
      <c r="H967" s="34" t="s">
        <v>29</v>
      </c>
      <c r="I967" s="34" t="s">
        <v>40</v>
      </c>
      <c r="J967" s="34" t="s">
        <v>2193</v>
      </c>
      <c r="K967" s="34" t="s">
        <v>2194</v>
      </c>
      <c r="L967" s="34" t="s">
        <v>111</v>
      </c>
      <c r="M967" s="34" t="s">
        <v>2195</v>
      </c>
      <c r="N967" s="34" t="s">
        <v>2196</v>
      </c>
      <c r="O967" s="34" t="s">
        <v>29</v>
      </c>
      <c r="P967" s="34">
        <v>16.0</v>
      </c>
      <c r="Q967" s="34">
        <v>2666.0</v>
      </c>
      <c r="R967" s="34" t="s">
        <v>34</v>
      </c>
      <c r="S967" s="34" t="s">
        <v>1225</v>
      </c>
    </row>
    <row r="968" ht="15.75" customHeight="1">
      <c r="A968" s="33">
        <v>46060.86816940972</v>
      </c>
      <c r="B968" s="34" t="s">
        <v>1873</v>
      </c>
      <c r="C968" s="34" t="s">
        <v>2197</v>
      </c>
      <c r="D968" s="34" t="s">
        <v>101</v>
      </c>
      <c r="E968" s="34" t="s">
        <v>1854</v>
      </c>
      <c r="F968" s="34">
        <v>1.0</v>
      </c>
      <c r="G968" s="34">
        <v>6.0</v>
      </c>
      <c r="H968" s="34" t="s">
        <v>29</v>
      </c>
      <c r="J968" s="34" t="s">
        <v>1796</v>
      </c>
      <c r="K968" s="34" t="s">
        <v>2198</v>
      </c>
      <c r="L968" s="34" t="s">
        <v>103</v>
      </c>
      <c r="M968" s="34" t="s">
        <v>1857</v>
      </c>
      <c r="O968" s="34" t="s">
        <v>40</v>
      </c>
      <c r="P968" s="34">
        <v>4.0</v>
      </c>
      <c r="Q968" s="34">
        <v>2666.0</v>
      </c>
      <c r="R968" s="34" t="s">
        <v>34</v>
      </c>
      <c r="S968" s="34" t="s">
        <v>1217</v>
      </c>
    </row>
    <row r="969" ht="15.75" customHeight="1">
      <c r="A969" s="33">
        <v>46061.760424548615</v>
      </c>
      <c r="B969" s="34" t="s">
        <v>95</v>
      </c>
      <c r="C969" s="34" t="s">
        <v>2199</v>
      </c>
      <c r="D969" s="34" t="s">
        <v>27</v>
      </c>
      <c r="E969" s="34" t="s">
        <v>2200</v>
      </c>
      <c r="F969" s="34">
        <v>2.0</v>
      </c>
      <c r="G969" s="34">
        <v>32.0</v>
      </c>
      <c r="H969" s="34" t="s">
        <v>29</v>
      </c>
      <c r="I969" s="34" t="s">
        <v>29</v>
      </c>
      <c r="K969" s="34" t="s">
        <v>2201</v>
      </c>
      <c r="L969" s="34" t="s">
        <v>2202</v>
      </c>
      <c r="M969" s="34" t="s">
        <v>2203</v>
      </c>
      <c r="O969" s="34" t="s">
        <v>29</v>
      </c>
      <c r="P969" s="34">
        <v>16.0</v>
      </c>
      <c r="Q969" s="34">
        <v>2666.0</v>
      </c>
      <c r="R969" s="34" t="s">
        <v>34</v>
      </c>
      <c r="S969" s="34" t="s">
        <v>1220</v>
      </c>
    </row>
    <row r="970" ht="15.75" customHeight="1">
      <c r="A970" s="33">
        <v>46062.12020535879</v>
      </c>
      <c r="B970" s="34" t="s">
        <v>1796</v>
      </c>
      <c r="C970" s="34" t="s">
        <v>2071</v>
      </c>
      <c r="D970" s="34" t="s">
        <v>27</v>
      </c>
      <c r="E970" s="34" t="s">
        <v>2204</v>
      </c>
      <c r="F970" s="34">
        <v>1.0</v>
      </c>
      <c r="G970" s="34">
        <v>10.0</v>
      </c>
      <c r="H970" s="34" t="s">
        <v>40</v>
      </c>
      <c r="I970" s="34" t="s">
        <v>40</v>
      </c>
      <c r="J970" s="34" t="s">
        <v>1208</v>
      </c>
      <c r="K970" s="34" t="s">
        <v>1288</v>
      </c>
      <c r="L970" s="34" t="s">
        <v>111</v>
      </c>
      <c r="M970" s="34" t="s">
        <v>418</v>
      </c>
      <c r="O970" s="34" t="s">
        <v>126</v>
      </c>
      <c r="P970" s="34">
        <v>8.0</v>
      </c>
      <c r="Q970" s="34">
        <v>3200.0</v>
      </c>
      <c r="R970" s="34" t="s">
        <v>34</v>
      </c>
      <c r="S970" s="34" t="s">
        <v>1217</v>
      </c>
    </row>
    <row r="971" ht="15.75" customHeight="1">
      <c r="A971" s="33">
        <v>46065.8755046875</v>
      </c>
      <c r="B971" s="34" t="s">
        <v>36</v>
      </c>
      <c r="C971" s="34" t="s">
        <v>2071</v>
      </c>
      <c r="D971" s="34" t="s">
        <v>716</v>
      </c>
      <c r="E971" s="34" t="s">
        <v>345</v>
      </c>
      <c r="F971" s="34">
        <v>1.0</v>
      </c>
      <c r="G971" s="34">
        <v>20.0</v>
      </c>
      <c r="H971" s="34" t="s">
        <v>40</v>
      </c>
      <c r="I971" s="34" t="s">
        <v>40</v>
      </c>
      <c r="J971" s="34" t="s">
        <v>2205</v>
      </c>
      <c r="K971" s="34" t="s">
        <v>2206</v>
      </c>
      <c r="L971" s="34" t="s">
        <v>111</v>
      </c>
      <c r="M971" s="41" t="s">
        <v>50</v>
      </c>
      <c r="O971" s="34" t="s">
        <v>40</v>
      </c>
      <c r="P971" s="34">
        <v>16.0</v>
      </c>
      <c r="Q971" s="34">
        <v>2666.0</v>
      </c>
      <c r="R971" s="34" t="s">
        <v>34</v>
      </c>
      <c r="S971" s="34" t="s">
        <v>1225</v>
      </c>
    </row>
    <row r="972" ht="15.75" customHeight="1">
      <c r="A972" s="33">
        <v>46065.88582820602</v>
      </c>
      <c r="B972" s="34" t="s">
        <v>298</v>
      </c>
      <c r="C972" s="34" t="s">
        <v>2190</v>
      </c>
      <c r="D972" s="34" t="s">
        <v>38</v>
      </c>
      <c r="E972" s="34" t="s">
        <v>715</v>
      </c>
      <c r="F972" s="34">
        <v>2.0</v>
      </c>
      <c r="G972" s="34">
        <v>16.0</v>
      </c>
      <c r="H972" s="34" t="s">
        <v>29</v>
      </c>
      <c r="I972" s="34" t="s">
        <v>40</v>
      </c>
      <c r="K972" s="34" t="s">
        <v>2207</v>
      </c>
      <c r="L972" s="34" t="s">
        <v>103</v>
      </c>
      <c r="M972" s="41" t="s">
        <v>122</v>
      </c>
      <c r="N972" s="34" t="s">
        <v>2208</v>
      </c>
      <c r="O972" s="34" t="s">
        <v>40</v>
      </c>
      <c r="P972" s="34">
        <v>8.0</v>
      </c>
      <c r="Q972" s="34">
        <v>1866.0</v>
      </c>
      <c r="R972" s="34" t="s">
        <v>1219</v>
      </c>
      <c r="S972" s="34" t="s">
        <v>1220</v>
      </c>
    </row>
    <row r="973" ht="15.75" customHeight="1">
      <c r="A973" s="33">
        <v>46066.31516943287</v>
      </c>
      <c r="B973" s="34" t="s">
        <v>1796</v>
      </c>
      <c r="C973" s="34" t="s">
        <v>2190</v>
      </c>
      <c r="D973" s="34" t="s">
        <v>922</v>
      </c>
      <c r="E973" s="34" t="s">
        <v>2047</v>
      </c>
      <c r="F973" s="34">
        <v>1.0</v>
      </c>
      <c r="G973" s="34">
        <v>10.0</v>
      </c>
      <c r="H973" s="34" t="s">
        <v>29</v>
      </c>
      <c r="I973" s="34" t="s">
        <v>40</v>
      </c>
      <c r="K973" s="34" t="s">
        <v>2209</v>
      </c>
      <c r="L973" s="34" t="s">
        <v>103</v>
      </c>
      <c r="M973" s="41" t="s">
        <v>2210</v>
      </c>
      <c r="O973" s="34" t="s">
        <v>40</v>
      </c>
      <c r="P973" s="34">
        <v>8.0</v>
      </c>
      <c r="Q973" s="34">
        <v>3200.0</v>
      </c>
      <c r="R973" s="34" t="s">
        <v>34</v>
      </c>
      <c r="S973" s="34" t="s">
        <v>1220</v>
      </c>
    </row>
    <row r="974" ht="15.75" customHeight="1">
      <c r="A974" s="33">
        <v>46069.45871320602</v>
      </c>
      <c r="B974" s="34" t="s">
        <v>1201</v>
      </c>
      <c r="C974" s="34" t="s">
        <v>2071</v>
      </c>
      <c r="D974" s="34" t="s">
        <v>27</v>
      </c>
      <c r="E974" s="34" t="s">
        <v>2211</v>
      </c>
      <c r="F974" s="34">
        <v>1.0</v>
      </c>
      <c r="H974" s="34" t="s">
        <v>29</v>
      </c>
      <c r="I974" s="34" t="s">
        <v>40</v>
      </c>
      <c r="K974" s="34" t="s">
        <v>2212</v>
      </c>
      <c r="L974" s="34" t="s">
        <v>1156</v>
      </c>
      <c r="O974" s="34" t="s">
        <v>29</v>
      </c>
      <c r="P974" s="34">
        <v>16.0</v>
      </c>
      <c r="Q974" s="34">
        <v>2666.0</v>
      </c>
      <c r="R974" s="34" t="s">
        <v>34</v>
      </c>
      <c r="S974" s="34" t="s">
        <v>1217</v>
      </c>
    </row>
    <row r="975" ht="15.75" customHeight="1">
      <c r="A975" s="33">
        <v>46070.54824103009</v>
      </c>
      <c r="B975" s="34" t="s">
        <v>36</v>
      </c>
      <c r="C975" s="34" t="s">
        <v>2190</v>
      </c>
      <c r="D975" s="34" t="s">
        <v>101</v>
      </c>
      <c r="E975" s="34" t="s">
        <v>1756</v>
      </c>
      <c r="F975" s="34">
        <v>1.0</v>
      </c>
      <c r="G975" s="34">
        <v>16.0</v>
      </c>
      <c r="H975" s="34" t="s">
        <v>40</v>
      </c>
      <c r="I975" s="34" t="s">
        <v>40</v>
      </c>
      <c r="J975" s="34" t="s">
        <v>2213</v>
      </c>
      <c r="K975" s="34" t="s">
        <v>2214</v>
      </c>
      <c r="O975" s="34" t="s">
        <v>40</v>
      </c>
      <c r="P975" s="34">
        <v>8.0</v>
      </c>
      <c r="Q975" s="34">
        <v>3200.0</v>
      </c>
      <c r="R975" s="34" t="s">
        <v>34</v>
      </c>
      <c r="S975" s="34" t="s">
        <v>1217</v>
      </c>
    </row>
    <row r="976" ht="15.75" customHeight="1">
      <c r="A976" s="33">
        <v>46072.812749178236</v>
      </c>
      <c r="B976" s="34" t="s">
        <v>1796</v>
      </c>
      <c r="C976" s="34" t="s">
        <v>2071</v>
      </c>
      <c r="D976" s="34" t="s">
        <v>2215</v>
      </c>
      <c r="E976" s="34" t="s">
        <v>1377</v>
      </c>
      <c r="F976" s="34">
        <v>1.0</v>
      </c>
      <c r="G976" s="34">
        <v>18.0</v>
      </c>
      <c r="H976" s="34" t="s">
        <v>29</v>
      </c>
      <c r="I976" s="34" t="s">
        <v>40</v>
      </c>
      <c r="K976" s="34" t="s">
        <v>1429</v>
      </c>
      <c r="L976" s="34" t="s">
        <v>2216</v>
      </c>
      <c r="M976" s="34" t="s">
        <v>2217</v>
      </c>
      <c r="O976" s="34" t="s">
        <v>126</v>
      </c>
      <c r="P976" s="34">
        <v>16.0</v>
      </c>
      <c r="Q976" s="34">
        <v>3200.0</v>
      </c>
      <c r="R976" s="34" t="s">
        <v>34</v>
      </c>
      <c r="S976" s="34" t="s">
        <v>1225</v>
      </c>
    </row>
    <row r="977" ht="15.75" customHeight="1">
      <c r="A977" s="33">
        <v>46075.78945246528</v>
      </c>
      <c r="B977" s="34" t="s">
        <v>42</v>
      </c>
      <c r="C977" s="34" t="s">
        <v>1821</v>
      </c>
      <c r="D977" s="34" t="s">
        <v>565</v>
      </c>
      <c r="E977" s="34" t="s">
        <v>566</v>
      </c>
      <c r="F977" s="34">
        <v>2.0</v>
      </c>
      <c r="G977" s="34">
        <v>32.0</v>
      </c>
      <c r="H977" s="34" t="s">
        <v>29</v>
      </c>
      <c r="I977" s="34" t="s">
        <v>40</v>
      </c>
      <c r="K977" s="34" t="s">
        <v>2218</v>
      </c>
      <c r="L977" s="34" t="s">
        <v>111</v>
      </c>
      <c r="M977" s="34" t="s">
        <v>2219</v>
      </c>
      <c r="O977" s="34" t="s">
        <v>29</v>
      </c>
      <c r="P977" s="34">
        <v>16.0</v>
      </c>
      <c r="Q977" s="34">
        <v>2666.0</v>
      </c>
      <c r="R977" s="34" t="s">
        <v>34</v>
      </c>
      <c r="S977" s="34" t="s">
        <v>1220</v>
      </c>
    </row>
    <row r="978" ht="15.75" customHeight="1">
      <c r="A978" s="33">
        <v>46078.58442876158</v>
      </c>
      <c r="B978" s="34" t="s">
        <v>1796</v>
      </c>
      <c r="C978" s="34" t="s">
        <v>2190</v>
      </c>
      <c r="D978" s="34" t="s">
        <v>38</v>
      </c>
      <c r="E978" s="34" t="s">
        <v>39</v>
      </c>
      <c r="F978" s="34">
        <v>1.0</v>
      </c>
      <c r="G978" s="34">
        <v>18.0</v>
      </c>
      <c r="H978" s="34" t="s">
        <v>29</v>
      </c>
      <c r="I978" s="34" t="s">
        <v>40</v>
      </c>
      <c r="K978" s="34" t="s">
        <v>1954</v>
      </c>
      <c r="L978" s="34" t="s">
        <v>753</v>
      </c>
      <c r="M978" s="34" t="s">
        <v>2220</v>
      </c>
      <c r="O978" s="34" t="s">
        <v>40</v>
      </c>
      <c r="P978" s="34">
        <v>16.0</v>
      </c>
      <c r="Q978" s="34">
        <v>2666.0</v>
      </c>
      <c r="R978" s="34" t="s">
        <v>34</v>
      </c>
      <c r="S978" s="34" t="s">
        <v>1220</v>
      </c>
    </row>
    <row r="979" ht="15.75" customHeight="1">
      <c r="A979" s="33">
        <v>46079.084588425925</v>
      </c>
      <c r="B979" s="34" t="s">
        <v>124</v>
      </c>
      <c r="C979" s="34" t="s">
        <v>2190</v>
      </c>
      <c r="D979" s="34" t="s">
        <v>38</v>
      </c>
      <c r="E979" s="34" t="s">
        <v>2221</v>
      </c>
      <c r="F979" s="34">
        <v>1.0</v>
      </c>
      <c r="G979" s="34">
        <v>10.0</v>
      </c>
      <c r="H979" s="34" t="s">
        <v>29</v>
      </c>
      <c r="I979" s="34" t="s">
        <v>40</v>
      </c>
      <c r="K979" s="34" t="s">
        <v>2222</v>
      </c>
      <c r="L979" s="34" t="s">
        <v>186</v>
      </c>
      <c r="M979" s="34" t="s">
        <v>2223</v>
      </c>
      <c r="P979" s="34">
        <v>8.0</v>
      </c>
      <c r="Q979" s="34">
        <v>3200.0</v>
      </c>
      <c r="R979" s="34" t="s">
        <v>34</v>
      </c>
      <c r="S979" s="34" t="s">
        <v>1220</v>
      </c>
    </row>
    <row r="980" ht="15.75" customHeight="1">
      <c r="A980" s="33">
        <v>46084.01265883102</v>
      </c>
      <c r="B980" s="34" t="s">
        <v>1898</v>
      </c>
      <c r="C980" s="34" t="s">
        <v>2224</v>
      </c>
      <c r="D980" s="34" t="s">
        <v>985</v>
      </c>
      <c r="E980" s="34" t="s">
        <v>2225</v>
      </c>
      <c r="F980" s="34">
        <v>4.0</v>
      </c>
      <c r="G980" s="34">
        <v>128.0</v>
      </c>
      <c r="H980" s="34" t="s">
        <v>29</v>
      </c>
      <c r="I980" s="34" t="s">
        <v>40</v>
      </c>
      <c r="J980" s="34" t="s">
        <v>2226</v>
      </c>
      <c r="K980" s="34" t="s">
        <v>2227</v>
      </c>
      <c r="L980" s="34" t="s">
        <v>111</v>
      </c>
      <c r="M980" s="34" t="s">
        <v>2228</v>
      </c>
      <c r="N980" s="34" t="s">
        <v>2229</v>
      </c>
      <c r="O980" s="34" t="s">
        <v>29</v>
      </c>
      <c r="P980" s="34">
        <v>32.0</v>
      </c>
      <c r="Q980" s="34">
        <v>2666.0</v>
      </c>
      <c r="R980" s="34" t="s">
        <v>34</v>
      </c>
      <c r="S980" s="34" t="s">
        <v>1225</v>
      </c>
    </row>
    <row r="981" ht="15.75" customHeight="1">
      <c r="A981" s="33">
        <v>46086.424617048615</v>
      </c>
      <c r="B981" s="34" t="s">
        <v>124</v>
      </c>
      <c r="C981" s="34" t="s">
        <v>2190</v>
      </c>
      <c r="D981" s="34" t="s">
        <v>86</v>
      </c>
      <c r="E981" s="34" t="s">
        <v>899</v>
      </c>
      <c r="F981" s="34">
        <v>1.0</v>
      </c>
      <c r="G981" s="34">
        <v>18.0</v>
      </c>
      <c r="H981" s="34" t="s">
        <v>29</v>
      </c>
      <c r="I981" s="34" t="s">
        <v>40</v>
      </c>
      <c r="K981" s="34" t="s">
        <v>2230</v>
      </c>
      <c r="L981" s="34" t="s">
        <v>445</v>
      </c>
      <c r="M981" s="34" t="s">
        <v>2220</v>
      </c>
      <c r="O981" s="34" t="s">
        <v>40</v>
      </c>
      <c r="P981" s="34">
        <v>16.0</v>
      </c>
      <c r="Q981" s="34">
        <v>2400.0</v>
      </c>
      <c r="R981" s="34" t="s">
        <v>34</v>
      </c>
      <c r="S981" s="34" t="s">
        <v>1225</v>
      </c>
    </row>
    <row r="982" ht="15.75" customHeight="1">
      <c r="A982" s="33">
        <v>46086.76862033565</v>
      </c>
      <c r="B982" s="34" t="s">
        <v>1722</v>
      </c>
      <c r="C982" s="34" t="s">
        <v>2190</v>
      </c>
      <c r="D982" s="34" t="s">
        <v>976</v>
      </c>
      <c r="E982" s="34" t="s">
        <v>1075</v>
      </c>
      <c r="F982" s="34">
        <v>1.0</v>
      </c>
      <c r="G982" s="34">
        <v>18.0</v>
      </c>
      <c r="H982" s="34" t="s">
        <v>29</v>
      </c>
      <c r="I982" s="34" t="s">
        <v>40</v>
      </c>
      <c r="K982" s="34" t="s">
        <v>2231</v>
      </c>
      <c r="L982" s="34" t="s">
        <v>286</v>
      </c>
      <c r="M982" s="41" t="s">
        <v>2232</v>
      </c>
      <c r="O982" s="34" t="s">
        <v>40</v>
      </c>
      <c r="P982" s="34">
        <v>16.0</v>
      </c>
      <c r="Q982" s="34">
        <v>2666.0</v>
      </c>
      <c r="R982" s="34" t="s">
        <v>34</v>
      </c>
      <c r="S982" s="34" t="s">
        <v>1225</v>
      </c>
    </row>
    <row r="983" ht="15.75" customHeight="1">
      <c r="A983" s="33">
        <v>46087.64235938658</v>
      </c>
      <c r="B983" s="34" t="s">
        <v>1796</v>
      </c>
      <c r="D983" s="34" t="s">
        <v>38</v>
      </c>
      <c r="E983" s="34" t="s">
        <v>1793</v>
      </c>
      <c r="H983" s="34" t="s">
        <v>29</v>
      </c>
      <c r="K983" s="34" t="s">
        <v>2233</v>
      </c>
      <c r="P983" s="34">
        <v>16.0</v>
      </c>
      <c r="Q983" s="34">
        <v>3200.0</v>
      </c>
      <c r="R983" s="34" t="s">
        <v>34</v>
      </c>
    </row>
    <row r="984" ht="15.75" customHeight="1">
      <c r="A984" s="33">
        <v>46087.67403505787</v>
      </c>
      <c r="B984" s="34" t="s">
        <v>288</v>
      </c>
      <c r="C984" s="34" t="s">
        <v>2234</v>
      </c>
      <c r="D984" s="34" t="s">
        <v>119</v>
      </c>
      <c r="E984" s="34" t="s">
        <v>479</v>
      </c>
      <c r="F984" s="34">
        <v>1.0</v>
      </c>
      <c r="G984" s="34">
        <v>6.0</v>
      </c>
      <c r="H984" s="34" t="s">
        <v>29</v>
      </c>
      <c r="I984" s="34" t="s">
        <v>40</v>
      </c>
      <c r="K984" s="34" t="s">
        <v>2235</v>
      </c>
      <c r="L984" s="34" t="s">
        <v>420</v>
      </c>
      <c r="M984" s="34" t="s">
        <v>2236</v>
      </c>
      <c r="O984" s="34" t="s">
        <v>40</v>
      </c>
      <c r="P984" s="34">
        <v>4.0</v>
      </c>
      <c r="Q984" s="34">
        <v>2666.0</v>
      </c>
      <c r="R984" s="34" t="s">
        <v>1220</v>
      </c>
      <c r="S984" s="34" t="s">
        <v>1217</v>
      </c>
    </row>
    <row r="985" ht="15.75" customHeight="1">
      <c r="A985" s="33">
        <v>46088.045531180556</v>
      </c>
      <c r="B985" s="34" t="s">
        <v>1085</v>
      </c>
      <c r="C985" s="34" t="s">
        <v>2237</v>
      </c>
      <c r="D985" s="34" t="s">
        <v>107</v>
      </c>
      <c r="E985" s="34" t="s">
        <v>2238</v>
      </c>
      <c r="F985" s="34">
        <v>1.0</v>
      </c>
      <c r="G985" s="34">
        <v>4.0</v>
      </c>
      <c r="H985" s="34" t="s">
        <v>29</v>
      </c>
      <c r="I985" s="34" t="s">
        <v>40</v>
      </c>
      <c r="K985" s="34" t="s">
        <v>2239</v>
      </c>
      <c r="L985" s="34" t="s">
        <v>136</v>
      </c>
      <c r="M985" s="34" t="s">
        <v>2240</v>
      </c>
      <c r="O985" s="34" t="s">
        <v>40</v>
      </c>
      <c r="P985" s="34">
        <v>4.0</v>
      </c>
      <c r="Q985" s="34">
        <v>1600.0</v>
      </c>
      <c r="R985" s="34" t="s">
        <v>1219</v>
      </c>
      <c r="S985" s="34" t="s">
        <v>1217</v>
      </c>
    </row>
    <row r="986" ht="15.75" customHeight="1">
      <c r="A986" s="33">
        <v>46088.3802747338</v>
      </c>
      <c r="B986" s="34" t="s">
        <v>1796</v>
      </c>
      <c r="C986" s="34" t="s">
        <v>2190</v>
      </c>
      <c r="D986" s="34" t="s">
        <v>38</v>
      </c>
      <c r="E986" s="34" t="s">
        <v>2241</v>
      </c>
      <c r="F986" s="34">
        <v>1.0</v>
      </c>
      <c r="G986" s="34">
        <v>10.0</v>
      </c>
      <c r="H986" s="34" t="s">
        <v>29</v>
      </c>
      <c r="I986" s="34" t="s">
        <v>40</v>
      </c>
      <c r="K986" s="34" t="s">
        <v>2242</v>
      </c>
      <c r="L986" s="34" t="s">
        <v>252</v>
      </c>
      <c r="M986" s="34" t="s">
        <v>2243</v>
      </c>
      <c r="O986" s="34" t="s">
        <v>40</v>
      </c>
      <c r="P986" s="34">
        <v>8.0</v>
      </c>
      <c r="Q986" s="34">
        <v>3200.0</v>
      </c>
      <c r="R986" s="34" t="s">
        <v>34</v>
      </c>
      <c r="S986" s="34" t="s">
        <v>1220</v>
      </c>
    </row>
    <row r="987" ht="15.75" customHeight="1">
      <c r="A987" s="33">
        <v>46094.52484090278</v>
      </c>
      <c r="B987" s="34" t="s">
        <v>465</v>
      </c>
      <c r="C987" s="34" t="s">
        <v>2190</v>
      </c>
      <c r="D987" s="34" t="s">
        <v>107</v>
      </c>
      <c r="E987" s="34" t="s">
        <v>1806</v>
      </c>
      <c r="F987" s="34">
        <v>1.0</v>
      </c>
      <c r="G987" s="34">
        <v>18.0</v>
      </c>
      <c r="H987" s="34" t="s">
        <v>29</v>
      </c>
      <c r="I987" s="34" t="s">
        <v>40</v>
      </c>
      <c r="K987" s="34" t="s">
        <v>1288</v>
      </c>
      <c r="L987" s="34" t="s">
        <v>140</v>
      </c>
      <c r="M987" s="41" t="s">
        <v>2244</v>
      </c>
      <c r="O987" s="34" t="s">
        <v>40</v>
      </c>
      <c r="P987" s="34">
        <v>16.0</v>
      </c>
      <c r="Q987" s="34">
        <v>2666.0</v>
      </c>
      <c r="R987" s="34" t="s">
        <v>34</v>
      </c>
      <c r="S987" s="34" t="s">
        <v>1225</v>
      </c>
    </row>
    <row r="988" ht="15.75" customHeight="1">
      <c r="A988" s="33">
        <v>46095.688427245375</v>
      </c>
      <c r="B988" s="34" t="s">
        <v>1796</v>
      </c>
      <c r="C988" s="34" t="s">
        <v>2190</v>
      </c>
      <c r="D988" s="34" t="s">
        <v>27</v>
      </c>
      <c r="E988" s="34" t="s">
        <v>231</v>
      </c>
      <c r="F988" s="34">
        <v>1.0</v>
      </c>
      <c r="G988" s="34">
        <v>10.0</v>
      </c>
      <c r="H988" s="34" t="s">
        <v>29</v>
      </c>
      <c r="I988" s="34" t="s">
        <v>40</v>
      </c>
      <c r="K988" s="34" t="s">
        <v>2245</v>
      </c>
      <c r="O988" s="34" t="s">
        <v>126</v>
      </c>
      <c r="P988" s="34">
        <v>8.0</v>
      </c>
      <c r="Q988" s="34">
        <v>2666.0</v>
      </c>
      <c r="R988" s="34" t="s">
        <v>34</v>
      </c>
      <c r="S988" s="34" t="s">
        <v>1217</v>
      </c>
    </row>
    <row r="989" ht="15.75" customHeight="1">
      <c r="A989" s="33">
        <v>46099.61741709491</v>
      </c>
      <c r="B989" s="34" t="s">
        <v>288</v>
      </c>
      <c r="D989" s="34" t="s">
        <v>2246</v>
      </c>
      <c r="E989" s="34" t="s">
        <v>2247</v>
      </c>
      <c r="H989" s="34" t="s">
        <v>29</v>
      </c>
      <c r="P989" s="34">
        <v>16.0</v>
      </c>
      <c r="Q989" s="34">
        <v>2400.0</v>
      </c>
      <c r="R989" s="34" t="s">
        <v>34</v>
      </c>
    </row>
    <row r="990" ht="15.75" customHeight="1">
      <c r="A990" s="33">
        <v>46099.888960428245</v>
      </c>
      <c r="B990" s="34" t="s">
        <v>465</v>
      </c>
      <c r="C990" s="34" t="s">
        <v>2190</v>
      </c>
      <c r="D990" s="34" t="s">
        <v>38</v>
      </c>
      <c r="E990" s="34" t="s">
        <v>368</v>
      </c>
      <c r="F990" s="34">
        <v>1.0</v>
      </c>
      <c r="G990" s="34">
        <v>18.0</v>
      </c>
      <c r="H990" s="34" t="s">
        <v>40</v>
      </c>
      <c r="J990" s="34" t="s">
        <v>2248</v>
      </c>
      <c r="K990" s="34" t="s">
        <v>1429</v>
      </c>
      <c r="L990" s="34" t="s">
        <v>140</v>
      </c>
      <c r="M990" s="34" t="s">
        <v>2249</v>
      </c>
      <c r="O990" s="34" t="s">
        <v>126</v>
      </c>
      <c r="P990" s="34">
        <v>16.0</v>
      </c>
      <c r="Q990" s="34">
        <v>3200.0</v>
      </c>
      <c r="R990" s="34" t="s">
        <v>34</v>
      </c>
      <c r="S990" s="34" t="s">
        <v>1217</v>
      </c>
    </row>
    <row r="991" ht="15.75" customHeight="1">
      <c r="A991" s="33">
        <v>46103.85485159722</v>
      </c>
      <c r="B991" s="34" t="s">
        <v>2250</v>
      </c>
      <c r="C991" s="34" t="s">
        <v>2251</v>
      </c>
      <c r="D991" s="34" t="s">
        <v>38</v>
      </c>
      <c r="E991" s="34" t="s">
        <v>634</v>
      </c>
      <c r="F991" s="34">
        <v>1.0</v>
      </c>
      <c r="G991" s="34">
        <v>8.0</v>
      </c>
      <c r="H991" s="34" t="s">
        <v>29</v>
      </c>
      <c r="I991" s="34" t="s">
        <v>40</v>
      </c>
      <c r="J991" s="34" t="s">
        <v>2252</v>
      </c>
      <c r="K991" s="34" t="s">
        <v>2253</v>
      </c>
      <c r="L991" s="34" t="s">
        <v>31</v>
      </c>
      <c r="M991" s="41" t="s">
        <v>2254</v>
      </c>
      <c r="N991" s="34" t="s">
        <v>2255</v>
      </c>
      <c r="O991" s="34" t="s">
        <v>40</v>
      </c>
      <c r="P991" s="34">
        <v>8.0</v>
      </c>
      <c r="Q991" s="34">
        <v>1600.0</v>
      </c>
      <c r="R991" s="34" t="s">
        <v>1219</v>
      </c>
      <c r="S991" s="34" t="s">
        <v>1225</v>
      </c>
    </row>
    <row r="992" ht="15.75" customHeight="1">
      <c r="A992" s="33">
        <v>46105.33117751157</v>
      </c>
      <c r="B992" s="34" t="s">
        <v>465</v>
      </c>
      <c r="C992" s="34" t="s">
        <v>2251</v>
      </c>
      <c r="D992" s="34" t="s">
        <v>119</v>
      </c>
      <c r="E992" s="34" t="s">
        <v>473</v>
      </c>
      <c r="F992" s="34">
        <v>1.0</v>
      </c>
      <c r="G992" s="34">
        <v>18.0</v>
      </c>
      <c r="H992" s="34" t="s">
        <v>29</v>
      </c>
      <c r="I992" s="34" t="s">
        <v>40</v>
      </c>
      <c r="J992" s="34" t="s">
        <v>2256</v>
      </c>
      <c r="K992" s="34" t="s">
        <v>1429</v>
      </c>
      <c r="L992" s="34" t="s">
        <v>140</v>
      </c>
      <c r="M992" s="41" t="s">
        <v>681</v>
      </c>
      <c r="O992" s="34" t="s">
        <v>40</v>
      </c>
      <c r="P992" s="34">
        <v>16.0</v>
      </c>
      <c r="Q992" s="34">
        <v>2666.0</v>
      </c>
      <c r="R992" s="34" t="s">
        <v>34</v>
      </c>
      <c r="S992" s="34" t="s">
        <v>1217</v>
      </c>
    </row>
    <row r="993" ht="15.75" customHeight="1">
      <c r="A993" s="33">
        <v>46107.2780659375</v>
      </c>
      <c r="B993" s="34" t="s">
        <v>1796</v>
      </c>
      <c r="C993" s="34" t="s">
        <v>2251</v>
      </c>
      <c r="D993" s="34" t="s">
        <v>2257</v>
      </c>
      <c r="E993" s="34" t="s">
        <v>345</v>
      </c>
      <c r="F993" s="34">
        <v>1.0</v>
      </c>
      <c r="G993" s="34">
        <v>18.0</v>
      </c>
      <c r="H993" s="34" t="s">
        <v>29</v>
      </c>
      <c r="I993" s="34" t="s">
        <v>40</v>
      </c>
      <c r="J993" s="34" t="s">
        <v>2258</v>
      </c>
      <c r="K993" s="34" t="s">
        <v>2259</v>
      </c>
      <c r="L993" s="34" t="s">
        <v>111</v>
      </c>
      <c r="M993" s="41" t="s">
        <v>50</v>
      </c>
      <c r="O993" s="34" t="s">
        <v>40</v>
      </c>
      <c r="P993" s="34">
        <v>16.0</v>
      </c>
      <c r="Q993" s="34">
        <v>2666.0</v>
      </c>
      <c r="R993" s="34" t="s">
        <v>34</v>
      </c>
      <c r="S993" s="34" t="s">
        <v>1225</v>
      </c>
    </row>
    <row r="994" ht="15.75" customHeight="1">
      <c r="A994" s="33">
        <v>46108.08659803241</v>
      </c>
      <c r="B994" s="34" t="s">
        <v>2260</v>
      </c>
      <c r="C994" s="34" t="s">
        <v>2251</v>
      </c>
      <c r="D994" s="34" t="s">
        <v>89</v>
      </c>
      <c r="E994" s="34" t="s">
        <v>173</v>
      </c>
      <c r="F994" s="34">
        <v>2.0</v>
      </c>
      <c r="G994" s="34">
        <v>32.0</v>
      </c>
      <c r="H994" s="34" t="s">
        <v>29</v>
      </c>
      <c r="I994" s="34" t="s">
        <v>40</v>
      </c>
      <c r="K994" s="34" t="s">
        <v>2261</v>
      </c>
      <c r="L994" s="34" t="s">
        <v>111</v>
      </c>
      <c r="M994" s="34" t="s">
        <v>2262</v>
      </c>
      <c r="O994" s="34" t="s">
        <v>40</v>
      </c>
      <c r="P994" s="34">
        <v>16.0</v>
      </c>
      <c r="Q994" s="34">
        <v>2666.0</v>
      </c>
      <c r="R994" s="34" t="s">
        <v>34</v>
      </c>
      <c r="S994" s="34" t="s">
        <v>1225</v>
      </c>
    </row>
    <row r="995" ht="15.75" customHeight="1">
      <c r="A995" s="33">
        <v>46113.93119996528</v>
      </c>
      <c r="B995" s="34" t="s">
        <v>465</v>
      </c>
      <c r="C995" s="34" t="s">
        <v>2251</v>
      </c>
      <c r="D995" s="34" t="s">
        <v>38</v>
      </c>
      <c r="E995" s="34" t="s">
        <v>153</v>
      </c>
      <c r="F995" s="34">
        <v>1.0</v>
      </c>
      <c r="G995" s="34">
        <v>10.0</v>
      </c>
      <c r="H995" s="34" t="s">
        <v>40</v>
      </c>
      <c r="I995" s="34" t="s">
        <v>40</v>
      </c>
      <c r="J995" s="34" t="s">
        <v>2263</v>
      </c>
      <c r="K995" s="34" t="s">
        <v>2264</v>
      </c>
      <c r="L995" s="34" t="s">
        <v>111</v>
      </c>
      <c r="M995" s="41" t="s">
        <v>116</v>
      </c>
      <c r="O995" s="34" t="s">
        <v>40</v>
      </c>
      <c r="P995" s="34">
        <v>8.0</v>
      </c>
      <c r="Q995" s="34">
        <v>3200.0</v>
      </c>
      <c r="R995" s="34" t="s">
        <v>34</v>
      </c>
      <c r="S995" s="34" t="s">
        <v>1220</v>
      </c>
    </row>
    <row r="996" ht="15.75" customHeight="1">
      <c r="A996" s="33">
        <v>46114.74722716435</v>
      </c>
      <c r="B996" s="34" t="s">
        <v>2</v>
      </c>
      <c r="C996" s="34" t="s">
        <v>2251</v>
      </c>
      <c r="D996" s="34" t="s">
        <v>38</v>
      </c>
      <c r="E996" s="34" t="s">
        <v>1479</v>
      </c>
      <c r="F996" s="34">
        <v>2.0</v>
      </c>
      <c r="G996" s="34">
        <v>64.0</v>
      </c>
      <c r="H996" s="34" t="s">
        <v>29</v>
      </c>
      <c r="I996" s="34" t="s">
        <v>40</v>
      </c>
      <c r="K996" s="34" t="s">
        <v>2265</v>
      </c>
      <c r="L996" s="34" t="s">
        <v>2266</v>
      </c>
      <c r="M996" s="34" t="s">
        <v>2267</v>
      </c>
      <c r="O996" s="34" t="s">
        <v>40</v>
      </c>
      <c r="P996" s="34">
        <v>32.0</v>
      </c>
      <c r="Q996" s="34">
        <v>3200.0</v>
      </c>
      <c r="R996" s="34" t="s">
        <v>34</v>
      </c>
      <c r="S996" s="34" t="s">
        <v>1225</v>
      </c>
    </row>
    <row r="997" ht="15.75" customHeight="1">
      <c r="A997" s="33">
        <v>46116.31218515046</v>
      </c>
      <c r="B997" s="34" t="s">
        <v>124</v>
      </c>
      <c r="C997" s="34" t="s">
        <v>2251</v>
      </c>
      <c r="D997" s="34" t="s">
        <v>38</v>
      </c>
      <c r="E997" s="34" t="s">
        <v>57</v>
      </c>
      <c r="F997" s="34">
        <v>1.0</v>
      </c>
      <c r="G997" s="34">
        <v>6.0</v>
      </c>
      <c r="H997" s="34" t="s">
        <v>29</v>
      </c>
      <c r="I997" s="34" t="s">
        <v>40</v>
      </c>
      <c r="J997" s="34" t="s">
        <v>2268</v>
      </c>
      <c r="K997" s="34" t="s">
        <v>2269</v>
      </c>
      <c r="L997" s="34" t="s">
        <v>31</v>
      </c>
      <c r="M997" s="34" t="s">
        <v>109</v>
      </c>
      <c r="O997" s="34" t="s">
        <v>40</v>
      </c>
      <c r="P997" s="34">
        <v>4.0</v>
      </c>
      <c r="Q997" s="34">
        <v>2666.0</v>
      </c>
      <c r="R997" s="34" t="s">
        <v>34</v>
      </c>
    </row>
    <row r="998" ht="15.75" customHeight="1">
      <c r="A998" s="33">
        <v>46116.31320748843</v>
      </c>
      <c r="B998" s="34" t="s">
        <v>124</v>
      </c>
      <c r="C998" s="34" t="s">
        <v>2251</v>
      </c>
      <c r="D998" s="34" t="s">
        <v>38</v>
      </c>
      <c r="E998" s="34" t="s">
        <v>68</v>
      </c>
      <c r="F998" s="34">
        <v>1.0</v>
      </c>
      <c r="G998" s="34">
        <v>10.0</v>
      </c>
      <c r="H998" s="34" t="s">
        <v>40</v>
      </c>
      <c r="I998" s="34" t="s">
        <v>40</v>
      </c>
      <c r="J998" s="34" t="s">
        <v>2270</v>
      </c>
      <c r="K998" s="34" t="s">
        <v>2269</v>
      </c>
      <c r="L998" s="34" t="s">
        <v>31</v>
      </c>
      <c r="M998" s="34" t="s">
        <v>109</v>
      </c>
      <c r="O998" s="34" t="s">
        <v>40</v>
      </c>
      <c r="P998" s="34">
        <v>8.0</v>
      </c>
      <c r="Q998" s="34">
        <v>2666.0</v>
      </c>
      <c r="R998" s="34" t="s">
        <v>34</v>
      </c>
      <c r="S998" s="34" t="s">
        <v>1225</v>
      </c>
    </row>
    <row r="999" ht="15.75" customHeight="1">
      <c r="A999" s="33">
        <v>46117.687088645835</v>
      </c>
      <c r="B999" s="34" t="s">
        <v>2271</v>
      </c>
      <c r="C999" s="34" t="s">
        <v>2251</v>
      </c>
      <c r="D999" s="34" t="s">
        <v>27</v>
      </c>
      <c r="E999" s="34" t="s">
        <v>1312</v>
      </c>
      <c r="F999" s="34">
        <v>1.0</v>
      </c>
      <c r="G999" s="34">
        <v>20.0</v>
      </c>
      <c r="H999" s="34" t="s">
        <v>29</v>
      </c>
      <c r="I999" s="34" t="s">
        <v>40</v>
      </c>
      <c r="K999" s="34" t="s">
        <v>2272</v>
      </c>
      <c r="L999" s="34" t="s">
        <v>608</v>
      </c>
      <c r="M999" s="34" t="s">
        <v>2273</v>
      </c>
      <c r="N999" s="34" t="s">
        <v>2274</v>
      </c>
      <c r="O999" s="34" t="s">
        <v>40</v>
      </c>
      <c r="P999" s="34">
        <v>16.0</v>
      </c>
      <c r="Q999" s="34">
        <v>3200.0</v>
      </c>
      <c r="R999" s="34" t="s">
        <v>34</v>
      </c>
      <c r="S999" s="34" t="s">
        <v>1217</v>
      </c>
    </row>
    <row r="1000" ht="15.75" customHeight="1">
      <c r="A1000" s="33">
        <v>46123.653624224535</v>
      </c>
      <c r="B1000" s="34" t="s">
        <v>1796</v>
      </c>
      <c r="C1000" s="34" t="s">
        <v>2251</v>
      </c>
      <c r="D1000" s="34" t="s">
        <v>27</v>
      </c>
      <c r="E1000" s="34" t="s">
        <v>1875</v>
      </c>
      <c r="F1000" s="34">
        <v>1.0</v>
      </c>
      <c r="G1000" s="34">
        <v>18.0</v>
      </c>
      <c r="H1000" s="34" t="s">
        <v>29</v>
      </c>
      <c r="I1000" s="34" t="s">
        <v>40</v>
      </c>
      <c r="K1000" s="34" t="s">
        <v>2275</v>
      </c>
      <c r="L1000" s="34" t="s">
        <v>585</v>
      </c>
      <c r="M1000" s="41" t="s">
        <v>1528</v>
      </c>
      <c r="N1000" s="34" t="s">
        <v>2276</v>
      </c>
      <c r="O1000" s="34" t="s">
        <v>40</v>
      </c>
      <c r="P1000" s="34">
        <v>16.0</v>
      </c>
      <c r="Q1000" s="34">
        <v>3200.0</v>
      </c>
      <c r="R1000" s="34" t="s">
        <v>34</v>
      </c>
      <c r="S1000" s="34" t="s">
        <v>1225</v>
      </c>
    </row>
    <row r="1001" ht="15.75" customHeight="1">
      <c r="A1001" s="33">
        <v>46130.62838917824</v>
      </c>
      <c r="B1001" s="34" t="s">
        <v>1796</v>
      </c>
      <c r="C1001" s="34" t="s">
        <v>2071</v>
      </c>
      <c r="D1001" s="34" t="s">
        <v>119</v>
      </c>
      <c r="E1001" s="34" t="s">
        <v>2277</v>
      </c>
      <c r="F1001" s="34">
        <v>1.0</v>
      </c>
      <c r="G1001" s="34">
        <v>10.0</v>
      </c>
      <c r="H1001" s="34" t="s">
        <v>29</v>
      </c>
      <c r="I1001" s="34" t="s">
        <v>40</v>
      </c>
      <c r="K1001" s="34" t="s">
        <v>2278</v>
      </c>
      <c r="L1001" s="34" t="s">
        <v>93</v>
      </c>
      <c r="M1001" s="34" t="s">
        <v>418</v>
      </c>
      <c r="N1001" s="34" t="s">
        <v>2279</v>
      </c>
      <c r="O1001" s="34" t="s">
        <v>40</v>
      </c>
      <c r="P1001" s="34">
        <v>8.0</v>
      </c>
      <c r="Q1001" s="34">
        <v>2666.0</v>
      </c>
      <c r="R1001" s="34" t="s">
        <v>34</v>
      </c>
      <c r="S1001" s="34" t="s">
        <v>1220</v>
      </c>
    </row>
    <row r="1002" ht="15.75" customHeight="1">
      <c r="A1002" s="33">
        <v>46133.669153194445</v>
      </c>
      <c r="B1002" s="34" t="s">
        <v>1796</v>
      </c>
      <c r="C1002" s="34" t="s">
        <v>2251</v>
      </c>
      <c r="D1002" s="34" t="s">
        <v>119</v>
      </c>
      <c r="E1002" s="34" t="s">
        <v>473</v>
      </c>
      <c r="F1002" s="34">
        <v>1.0</v>
      </c>
      <c r="G1002" s="34">
        <v>18.0</v>
      </c>
      <c r="H1002" s="34" t="s">
        <v>29</v>
      </c>
      <c r="I1002" s="34" t="s">
        <v>40</v>
      </c>
      <c r="J1002" s="34" t="s">
        <v>2280</v>
      </c>
      <c r="K1002" s="34" t="s">
        <v>2281</v>
      </c>
      <c r="L1002" s="34" t="s">
        <v>111</v>
      </c>
      <c r="M1002" s="41" t="s">
        <v>50</v>
      </c>
      <c r="O1002" s="34" t="s">
        <v>40</v>
      </c>
      <c r="P1002" s="34">
        <v>16.0</v>
      </c>
      <c r="Q1002" s="34">
        <v>2666.0</v>
      </c>
      <c r="R1002" s="34" t="s">
        <v>34</v>
      </c>
      <c r="S1002" s="34" t="s">
        <v>1225</v>
      </c>
    </row>
    <row r="1003" ht="15.75" customHeight="1">
      <c r="A1003" s="33">
        <v>46133.80722306713</v>
      </c>
      <c r="B1003" s="34" t="s">
        <v>465</v>
      </c>
      <c r="C1003" s="34" t="s">
        <v>2251</v>
      </c>
      <c r="D1003" s="34" t="s">
        <v>27</v>
      </c>
      <c r="E1003" s="34" t="s">
        <v>329</v>
      </c>
      <c r="F1003" s="34">
        <v>1.0</v>
      </c>
      <c r="G1003" s="34">
        <v>10.0</v>
      </c>
      <c r="H1003" s="34" t="s">
        <v>29</v>
      </c>
      <c r="I1003" s="34" t="s">
        <v>40</v>
      </c>
      <c r="K1003" s="34" t="s">
        <v>1288</v>
      </c>
      <c r="M1003" s="41" t="s">
        <v>2282</v>
      </c>
      <c r="O1003" s="34" t="s">
        <v>126</v>
      </c>
      <c r="P1003" s="34">
        <v>8.0</v>
      </c>
      <c r="Q1003" s="34">
        <v>2666.0</v>
      </c>
      <c r="R1003" s="34" t="s">
        <v>34</v>
      </c>
      <c r="S1003" s="34" t="s">
        <v>1220</v>
      </c>
    </row>
    <row r="1004" ht="15.75" customHeight="1">
      <c r="A1004" s="33">
        <v>46134.81194666667</v>
      </c>
      <c r="B1004" s="34" t="s">
        <v>1796</v>
      </c>
      <c r="C1004" s="34" t="s">
        <v>2251</v>
      </c>
      <c r="D1004" s="34" t="s">
        <v>38</v>
      </c>
      <c r="E1004" s="34" t="s">
        <v>2283</v>
      </c>
      <c r="H1004" s="34" t="s">
        <v>40</v>
      </c>
      <c r="J1004" s="34" t="s">
        <v>2284</v>
      </c>
      <c r="K1004" s="34" t="s">
        <v>1288</v>
      </c>
      <c r="L1004" s="34" t="s">
        <v>608</v>
      </c>
      <c r="M1004" s="34" t="s">
        <v>2285</v>
      </c>
      <c r="O1004" s="34" t="s">
        <v>40</v>
      </c>
      <c r="P1004" s="34">
        <v>16.0</v>
      </c>
      <c r="Q1004" s="34">
        <v>2400.0</v>
      </c>
      <c r="R1004" s="34" t="s">
        <v>34</v>
      </c>
      <c r="S1004" s="34" t="s">
        <v>1220</v>
      </c>
    </row>
    <row r="1005" ht="15.75" customHeight="1">
      <c r="A1005" s="33">
        <v>46135.554032141205</v>
      </c>
      <c r="B1005" s="34" t="s">
        <v>1796</v>
      </c>
      <c r="C1005" s="34" t="s">
        <v>2251</v>
      </c>
      <c r="D1005" s="34" t="s">
        <v>119</v>
      </c>
      <c r="E1005" s="34" t="s">
        <v>2286</v>
      </c>
      <c r="F1005" s="34">
        <v>1.0</v>
      </c>
      <c r="G1005" s="34">
        <v>10.0</v>
      </c>
      <c r="H1005" s="34" t="s">
        <v>29</v>
      </c>
      <c r="I1005" s="34" t="s">
        <v>40</v>
      </c>
      <c r="J1005" s="34" t="s">
        <v>2287</v>
      </c>
      <c r="K1005" s="34" t="s">
        <v>2288</v>
      </c>
      <c r="L1005" s="34" t="s">
        <v>608</v>
      </c>
      <c r="N1005" s="34" t="s">
        <v>2289</v>
      </c>
      <c r="O1005" s="34" t="s">
        <v>40</v>
      </c>
      <c r="P1005" s="34">
        <v>8.0</v>
      </c>
      <c r="Q1005" s="34">
        <v>3200.0</v>
      </c>
      <c r="R1005" s="34" t="s">
        <v>34</v>
      </c>
      <c r="S1005" s="34" t="s">
        <v>1217</v>
      </c>
    </row>
    <row r="1006" ht="15.75" customHeight="1">
      <c r="A1006" s="33">
        <v>46135.72174877315</v>
      </c>
      <c r="B1006" s="34" t="s">
        <v>465</v>
      </c>
      <c r="C1006" s="34" t="s">
        <v>2251</v>
      </c>
      <c r="D1006" s="34" t="s">
        <v>107</v>
      </c>
      <c r="E1006" s="34" t="s">
        <v>2290</v>
      </c>
      <c r="F1006" s="34">
        <v>1.0</v>
      </c>
      <c r="G1006" s="34">
        <v>10.0</v>
      </c>
      <c r="H1006" s="34" t="s">
        <v>29</v>
      </c>
      <c r="I1006" s="34" t="s">
        <v>40</v>
      </c>
      <c r="K1006" s="34" t="s">
        <v>2291</v>
      </c>
      <c r="O1006" s="34" t="s">
        <v>40</v>
      </c>
      <c r="P1006" s="34">
        <v>8.0</v>
      </c>
      <c r="Q1006" s="34">
        <v>2666.0</v>
      </c>
      <c r="R1006" s="34" t="s">
        <v>34</v>
      </c>
      <c r="S1006" s="34" t="s">
        <v>1217</v>
      </c>
    </row>
    <row r="1007" ht="15.75" customHeight="1">
      <c r="A1007" s="33">
        <v>46135.83708359954</v>
      </c>
      <c r="B1007" s="34" t="s">
        <v>2</v>
      </c>
      <c r="C1007" s="34" t="s">
        <v>2292</v>
      </c>
      <c r="D1007" s="34" t="s">
        <v>27</v>
      </c>
      <c r="E1007" s="34" t="s">
        <v>2293</v>
      </c>
      <c r="F1007" s="34">
        <v>1.0</v>
      </c>
      <c r="G1007" s="34">
        <v>20.0</v>
      </c>
      <c r="H1007" s="34" t="s">
        <v>29</v>
      </c>
      <c r="I1007" s="34" t="s">
        <v>40</v>
      </c>
      <c r="J1007" s="34" t="s">
        <v>2294</v>
      </c>
      <c r="K1007" s="34" t="s">
        <v>1302</v>
      </c>
      <c r="L1007" s="34" t="s">
        <v>93</v>
      </c>
      <c r="M1007" s="34" t="s">
        <v>2295</v>
      </c>
      <c r="N1007" s="34" t="s">
        <v>2296</v>
      </c>
      <c r="O1007" s="34" t="s">
        <v>29</v>
      </c>
      <c r="P1007" s="34">
        <v>16.0</v>
      </c>
      <c r="Q1007" s="34">
        <v>3200.0</v>
      </c>
      <c r="R1007" s="34" t="s">
        <v>34</v>
      </c>
      <c r="S1007" s="34" t="s">
        <v>1225</v>
      </c>
    </row>
    <row r="1008" ht="15.75" customHeight="1">
      <c r="A1008" s="33">
        <v>46141.67711049769</v>
      </c>
      <c r="B1008" s="34" t="s">
        <v>288</v>
      </c>
      <c r="C1008" s="34" t="s">
        <v>2251</v>
      </c>
      <c r="D1008" s="34" t="s">
        <v>107</v>
      </c>
      <c r="E1008" s="34" t="s">
        <v>108</v>
      </c>
      <c r="F1008" s="34">
        <v>1.0</v>
      </c>
      <c r="G1008" s="34">
        <v>18.0</v>
      </c>
      <c r="H1008" s="34" t="s">
        <v>29</v>
      </c>
      <c r="I1008" s="34" t="s">
        <v>40</v>
      </c>
      <c r="K1008" s="34" t="s">
        <v>2297</v>
      </c>
      <c r="L1008" s="34" t="s">
        <v>1524</v>
      </c>
      <c r="M1008" s="34" t="s">
        <v>2094</v>
      </c>
      <c r="O1008" s="34" t="s">
        <v>40</v>
      </c>
      <c r="P1008" s="34">
        <v>16.0</v>
      </c>
      <c r="Q1008" s="34">
        <v>2666.0</v>
      </c>
      <c r="R1008" s="34" t="s">
        <v>34</v>
      </c>
      <c r="S1008" s="34" t="s">
        <v>1220</v>
      </c>
    </row>
    <row r="1009" ht="15.75" customHeight="1">
      <c r="A1009" s="33">
        <v>46146.52809856481</v>
      </c>
      <c r="B1009" s="34" t="s">
        <v>288</v>
      </c>
      <c r="C1009" s="34" t="s">
        <v>2251</v>
      </c>
      <c r="D1009" s="34" t="s">
        <v>38</v>
      </c>
      <c r="E1009" s="34" t="s">
        <v>59</v>
      </c>
      <c r="F1009" s="34">
        <v>1.0</v>
      </c>
      <c r="G1009" s="34">
        <v>18.0</v>
      </c>
      <c r="H1009" s="34" t="s">
        <v>29</v>
      </c>
      <c r="I1009" s="34" t="s">
        <v>40</v>
      </c>
      <c r="J1009" s="34" t="s">
        <v>2298</v>
      </c>
      <c r="K1009" s="34" t="s">
        <v>2299</v>
      </c>
      <c r="L1009" s="34" t="s">
        <v>2300</v>
      </c>
      <c r="M1009" s="34" t="s">
        <v>2301</v>
      </c>
      <c r="O1009" s="34" t="s">
        <v>40</v>
      </c>
      <c r="P1009" s="34">
        <v>16.0</v>
      </c>
      <c r="Q1009" s="34">
        <v>2666.0</v>
      </c>
      <c r="R1009" s="34" t="s">
        <v>34</v>
      </c>
      <c r="S1009" s="34" t="s">
        <v>1220</v>
      </c>
    </row>
    <row r="1010" ht="15.75" customHeight="1">
      <c r="A1010" s="33">
        <v>46148.06541384259</v>
      </c>
      <c r="B1010" s="34" t="s">
        <v>1796</v>
      </c>
      <c r="C1010" s="34" t="s">
        <v>2251</v>
      </c>
      <c r="D1010" s="34" t="s">
        <v>38</v>
      </c>
      <c r="E1010" s="34" t="s">
        <v>891</v>
      </c>
      <c r="F1010" s="34">
        <v>1.0</v>
      </c>
      <c r="G1010" s="34">
        <v>18.0</v>
      </c>
      <c r="H1010" s="34" t="s">
        <v>29</v>
      </c>
      <c r="I1010" s="34" t="s">
        <v>40</v>
      </c>
      <c r="K1010" s="34" t="s">
        <v>2302</v>
      </c>
      <c r="L1010" s="34" t="s">
        <v>186</v>
      </c>
      <c r="M1010" s="34" t="s">
        <v>210</v>
      </c>
      <c r="N1010" s="34" t="s">
        <v>2303</v>
      </c>
      <c r="O1010" s="34" t="s">
        <v>40</v>
      </c>
      <c r="P1010" s="34">
        <v>16.0</v>
      </c>
      <c r="Q1010" s="34">
        <v>3200.0</v>
      </c>
      <c r="R1010" s="34" t="s">
        <v>34</v>
      </c>
      <c r="S1010" s="34" t="s">
        <v>1225</v>
      </c>
    </row>
    <row r="1011" ht="15.75" customHeight="1">
      <c r="A1011" s="33">
        <v>46148.57272483796</v>
      </c>
      <c r="B1011" s="34" t="s">
        <v>124</v>
      </c>
      <c r="C1011" s="34" t="s">
        <v>2251</v>
      </c>
      <c r="D1011" s="34" t="s">
        <v>119</v>
      </c>
      <c r="E1011" s="34" t="s">
        <v>473</v>
      </c>
      <c r="F1011" s="34">
        <v>1.0</v>
      </c>
      <c r="G1011" s="34">
        <v>18.0</v>
      </c>
      <c r="H1011" s="34" t="s">
        <v>29</v>
      </c>
      <c r="I1011" s="34" t="s">
        <v>40</v>
      </c>
      <c r="J1011" s="34" t="s">
        <v>2304</v>
      </c>
      <c r="K1011" s="34" t="s">
        <v>2305</v>
      </c>
      <c r="L1011" s="34" t="s">
        <v>1950</v>
      </c>
      <c r="M1011" s="34" t="s">
        <v>2306</v>
      </c>
      <c r="O1011" s="34" t="s">
        <v>40</v>
      </c>
      <c r="P1011" s="34">
        <v>16.0</v>
      </c>
      <c r="Q1011" s="34">
        <v>2666.0</v>
      </c>
      <c r="R1011" s="34" t="s">
        <v>34</v>
      </c>
      <c r="S1011" s="34" t="s">
        <v>1225</v>
      </c>
    </row>
    <row r="1012" ht="15.75" customHeight="1">
      <c r="A1012" s="33">
        <v>46149.874893726854</v>
      </c>
      <c r="B1012" s="34" t="s">
        <v>1642</v>
      </c>
      <c r="C1012" s="34" t="s">
        <v>2307</v>
      </c>
      <c r="D1012" s="34" t="s">
        <v>27</v>
      </c>
      <c r="E1012" s="34" t="s">
        <v>28</v>
      </c>
      <c r="F1012" s="34">
        <v>2.0</v>
      </c>
      <c r="G1012" s="34">
        <v>32.0</v>
      </c>
      <c r="H1012" s="34" t="s">
        <v>29</v>
      </c>
      <c r="I1012" s="34" t="s">
        <v>40</v>
      </c>
      <c r="J1012" s="34" t="s">
        <v>2308</v>
      </c>
      <c r="K1012" s="34" t="s">
        <v>2309</v>
      </c>
      <c r="L1012" s="34" t="s">
        <v>111</v>
      </c>
      <c r="M1012" s="41" t="s">
        <v>2310</v>
      </c>
      <c r="O1012" s="34" t="s">
        <v>29</v>
      </c>
      <c r="P1012" s="34">
        <v>16.0</v>
      </c>
      <c r="Q1012" s="34">
        <v>2666.0</v>
      </c>
      <c r="R1012" s="34" t="s">
        <v>34</v>
      </c>
      <c r="S1012" s="34" t="s">
        <v>1220</v>
      </c>
    </row>
    <row r="1013" ht="15.75" customHeight="1">
      <c r="A1013" s="33">
        <v>46151.483383032406</v>
      </c>
      <c r="B1013" s="34" t="s">
        <v>1796</v>
      </c>
      <c r="C1013" s="34" t="s">
        <v>2251</v>
      </c>
      <c r="D1013" s="34" t="s">
        <v>119</v>
      </c>
      <c r="E1013" s="34" t="s">
        <v>2311</v>
      </c>
      <c r="F1013" s="34">
        <v>1.0</v>
      </c>
      <c r="G1013" s="34">
        <v>18.0</v>
      </c>
      <c r="H1013" s="34" t="s">
        <v>29</v>
      </c>
      <c r="I1013" s="34" t="s">
        <v>40</v>
      </c>
      <c r="J1013" s="34" t="s">
        <v>2312</v>
      </c>
      <c r="K1013" s="34" t="s">
        <v>2313</v>
      </c>
      <c r="L1013" s="34" t="s">
        <v>219</v>
      </c>
      <c r="M1013" s="34" t="s">
        <v>2314</v>
      </c>
      <c r="N1013" s="34" t="s">
        <v>2315</v>
      </c>
      <c r="O1013" s="34" t="s">
        <v>126</v>
      </c>
      <c r="P1013" s="34">
        <v>16.0</v>
      </c>
      <c r="Q1013" s="34">
        <v>3200.0</v>
      </c>
      <c r="R1013" s="34" t="s">
        <v>34</v>
      </c>
      <c r="S1013" s="34" t="s">
        <v>1217</v>
      </c>
    </row>
    <row r="1014" ht="15.75" customHeight="1">
      <c r="A1014" s="33">
        <v>46153.57046128472</v>
      </c>
      <c r="B1014" s="34" t="s">
        <v>169</v>
      </c>
      <c r="C1014" s="34" t="s">
        <v>2251</v>
      </c>
      <c r="D1014" s="34" t="s">
        <v>38</v>
      </c>
      <c r="E1014" s="34" t="s">
        <v>2316</v>
      </c>
      <c r="F1014" s="34">
        <v>2.0</v>
      </c>
      <c r="G1014" s="34">
        <v>32.0</v>
      </c>
      <c r="H1014" s="34" t="s">
        <v>29</v>
      </c>
      <c r="I1014" s="34" t="s">
        <v>40</v>
      </c>
      <c r="K1014" s="34" t="s">
        <v>2317</v>
      </c>
      <c r="L1014" s="34" t="s">
        <v>103</v>
      </c>
      <c r="M1014" s="34" t="s">
        <v>260</v>
      </c>
      <c r="O1014" s="34" t="s">
        <v>40</v>
      </c>
      <c r="P1014" s="34">
        <v>16.0</v>
      </c>
      <c r="R1014" s="34" t="s">
        <v>34</v>
      </c>
      <c r="S1014" s="34" t="s">
        <v>1225</v>
      </c>
    </row>
    <row r="1015" ht="15.75" customHeight="1">
      <c r="A1015" s="33">
        <v>46155.68629363426</v>
      </c>
      <c r="B1015" s="34" t="s">
        <v>1796</v>
      </c>
      <c r="C1015" s="34" t="s">
        <v>2251</v>
      </c>
      <c r="D1015" s="34" t="s">
        <v>71</v>
      </c>
      <c r="E1015" s="34" t="s">
        <v>345</v>
      </c>
      <c r="F1015" s="34">
        <v>1.0</v>
      </c>
      <c r="G1015" s="34">
        <v>18.0</v>
      </c>
      <c r="H1015" s="34" t="s">
        <v>29</v>
      </c>
      <c r="I1015" s="34" t="s">
        <v>40</v>
      </c>
      <c r="J1015" s="34" t="s">
        <v>2318</v>
      </c>
      <c r="K1015" s="34" t="s">
        <v>2319</v>
      </c>
      <c r="L1015" s="34" t="s">
        <v>103</v>
      </c>
      <c r="M1015" s="41" t="s">
        <v>122</v>
      </c>
      <c r="O1015" s="34" t="s">
        <v>40</v>
      </c>
      <c r="P1015" s="34">
        <v>16.0</v>
      </c>
      <c r="Q1015" s="34">
        <v>2666.0</v>
      </c>
      <c r="R1015" s="34" t="s">
        <v>34</v>
      </c>
      <c r="S1015" s="34" t="s">
        <v>1225</v>
      </c>
    </row>
    <row r="1016" ht="15.75" customHeight="1">
      <c r="A1016" s="33">
        <v>46157.7598458912</v>
      </c>
      <c r="B1016" s="34" t="s">
        <v>1796</v>
      </c>
      <c r="C1016" s="34" t="s">
        <v>2251</v>
      </c>
      <c r="D1016" s="34" t="s">
        <v>2215</v>
      </c>
      <c r="E1016" s="34" t="s">
        <v>1377</v>
      </c>
      <c r="G1016" s="34">
        <v>18.0</v>
      </c>
      <c r="H1016" s="34" t="s">
        <v>29</v>
      </c>
      <c r="I1016" s="34" t="s">
        <v>40</v>
      </c>
      <c r="J1016" s="34" t="s">
        <v>2320</v>
      </c>
      <c r="K1016" s="34" t="s">
        <v>2321</v>
      </c>
      <c r="L1016" s="34" t="s">
        <v>443</v>
      </c>
      <c r="M1016" s="41" t="s">
        <v>116</v>
      </c>
      <c r="O1016" s="34" t="s">
        <v>126</v>
      </c>
      <c r="P1016" s="34">
        <v>16.0</v>
      </c>
      <c r="Q1016" s="34">
        <v>3200.0</v>
      </c>
      <c r="R1016" s="34" t="s">
        <v>34</v>
      </c>
      <c r="S1016" s="34" t="s">
        <v>1220</v>
      </c>
    </row>
    <row r="1017" ht="15.75" customHeight="1">
      <c r="A1017" s="33">
        <v>46158.775491747685</v>
      </c>
      <c r="B1017" s="34" t="s">
        <v>1796</v>
      </c>
      <c r="C1017" s="34" t="s">
        <v>2251</v>
      </c>
      <c r="D1017" s="34" t="s">
        <v>38</v>
      </c>
      <c r="E1017" s="34" t="s">
        <v>2322</v>
      </c>
      <c r="F1017" s="34">
        <v>1.0</v>
      </c>
      <c r="G1017" s="34">
        <v>18.0</v>
      </c>
      <c r="H1017" s="34" t="s">
        <v>29</v>
      </c>
      <c r="I1017" s="34" t="s">
        <v>40</v>
      </c>
      <c r="J1017" s="34" t="s">
        <v>2323</v>
      </c>
      <c r="K1017" s="34" t="s">
        <v>2324</v>
      </c>
      <c r="L1017" s="34" t="s">
        <v>140</v>
      </c>
      <c r="M1017" s="41" t="s">
        <v>615</v>
      </c>
      <c r="N1017" s="34" t="s">
        <v>2325</v>
      </c>
      <c r="O1017" s="34" t="s">
        <v>40</v>
      </c>
      <c r="P1017" s="34">
        <v>16.0</v>
      </c>
      <c r="Q1017" s="34">
        <v>3200.0</v>
      </c>
      <c r="R1017" s="34" t="s">
        <v>34</v>
      </c>
      <c r="S1017" s="34" t="s">
        <v>1220</v>
      </c>
    </row>
    <row r="1018" ht="15.75" customHeight="1">
      <c r="A1018" s="33">
        <v>46162.594509710645</v>
      </c>
      <c r="B1018" s="34" t="s">
        <v>1722</v>
      </c>
      <c r="C1018" s="34" t="s">
        <v>2071</v>
      </c>
      <c r="D1018" s="34" t="s">
        <v>38</v>
      </c>
      <c r="E1018" s="34" t="s">
        <v>2326</v>
      </c>
      <c r="F1018" s="34">
        <v>1.0</v>
      </c>
      <c r="G1018" s="34">
        <v>10.0</v>
      </c>
      <c r="H1018" s="34" t="s">
        <v>29</v>
      </c>
      <c r="I1018" s="34" t="s">
        <v>40</v>
      </c>
      <c r="K1018" s="34" t="s">
        <v>2327</v>
      </c>
      <c r="L1018" s="34" t="s">
        <v>608</v>
      </c>
      <c r="M1018" s="41" t="s">
        <v>1544</v>
      </c>
      <c r="N1018" s="34" t="s">
        <v>2328</v>
      </c>
      <c r="O1018" s="34" t="s">
        <v>29</v>
      </c>
      <c r="P1018" s="34">
        <v>8.0</v>
      </c>
      <c r="Q1018" s="34">
        <v>2666.0</v>
      </c>
      <c r="R1018" s="34" t="s">
        <v>34</v>
      </c>
      <c r="S1018" s="34" t="s">
        <v>1217</v>
      </c>
    </row>
    <row r="1019" ht="15.75" customHeight="1">
      <c r="A1019" s="33">
        <v>46162.868598518515</v>
      </c>
      <c r="B1019" s="34" t="s">
        <v>465</v>
      </c>
      <c r="C1019" s="34" t="s">
        <v>2251</v>
      </c>
      <c r="D1019" s="34" t="s">
        <v>38</v>
      </c>
      <c r="E1019" s="34" t="s">
        <v>153</v>
      </c>
      <c r="F1019" s="34">
        <v>1.0</v>
      </c>
      <c r="G1019" s="34">
        <v>10.0</v>
      </c>
      <c r="H1019" s="34" t="s">
        <v>40</v>
      </c>
      <c r="J1019" s="34" t="s">
        <v>2329</v>
      </c>
      <c r="K1019" s="34" t="s">
        <v>2330</v>
      </c>
      <c r="L1019" s="34" t="s">
        <v>2331</v>
      </c>
      <c r="M1019" s="34" t="s">
        <v>2332</v>
      </c>
      <c r="O1019" s="34" t="s">
        <v>40</v>
      </c>
      <c r="P1019" s="34">
        <v>8.0</v>
      </c>
      <c r="Q1019" s="34">
        <v>3200.0</v>
      </c>
      <c r="R1019" s="34" t="s">
        <v>34</v>
      </c>
      <c r="S1019" s="34" t="s">
        <v>1220</v>
      </c>
    </row>
    <row r="1020" ht="15.75" customHeight="1">
      <c r="A1020" s="33">
        <v>46162.87525887731</v>
      </c>
      <c r="B1020" s="34" t="s">
        <v>465</v>
      </c>
      <c r="C1020" s="34" t="s">
        <v>2251</v>
      </c>
      <c r="D1020" s="34" t="s">
        <v>716</v>
      </c>
      <c r="E1020" s="34" t="s">
        <v>1933</v>
      </c>
      <c r="F1020" s="34">
        <v>1.0</v>
      </c>
      <c r="G1020" s="34">
        <v>10.0</v>
      </c>
      <c r="H1020" s="34" t="s">
        <v>29</v>
      </c>
      <c r="I1020" s="34" t="s">
        <v>40</v>
      </c>
      <c r="K1020" s="34" t="s">
        <v>2330</v>
      </c>
      <c r="L1020" s="34" t="s">
        <v>2333</v>
      </c>
      <c r="M1020" s="34" t="s">
        <v>210</v>
      </c>
      <c r="O1020" s="34" t="s">
        <v>40</v>
      </c>
      <c r="P1020" s="34">
        <v>8.0</v>
      </c>
      <c r="Q1020" s="34">
        <v>2666.0</v>
      </c>
      <c r="R1020" s="34" t="s">
        <v>34</v>
      </c>
      <c r="S1020" s="34" t="s">
        <v>1220</v>
      </c>
    </row>
    <row r="1021" ht="15.75" customHeight="1">
      <c r="A1021" s="33">
        <v>46162.94361935185</v>
      </c>
      <c r="B1021" s="34" t="s">
        <v>1642</v>
      </c>
      <c r="C1021" s="34" t="s">
        <v>2251</v>
      </c>
      <c r="D1021" s="34" t="s">
        <v>922</v>
      </c>
      <c r="E1021" s="34" t="s">
        <v>2334</v>
      </c>
      <c r="F1021" s="34">
        <v>1.0</v>
      </c>
      <c r="G1021" s="34">
        <v>20.0</v>
      </c>
      <c r="H1021" s="34" t="s">
        <v>29</v>
      </c>
      <c r="I1021" s="34" t="s">
        <v>40</v>
      </c>
      <c r="K1021" s="34" t="s">
        <v>1302</v>
      </c>
      <c r="L1021" s="34" t="s">
        <v>331</v>
      </c>
      <c r="M1021" s="34" t="s">
        <v>2335</v>
      </c>
      <c r="N1021" s="34" t="s">
        <v>2336</v>
      </c>
      <c r="O1021" s="34" t="s">
        <v>40</v>
      </c>
      <c r="P1021" s="34">
        <v>16.0</v>
      </c>
      <c r="Q1021" s="34">
        <v>3200.0</v>
      </c>
      <c r="R1021" s="34" t="s">
        <v>34</v>
      </c>
      <c r="S1021" s="34" t="s">
        <v>1217</v>
      </c>
    </row>
    <row r="1022" ht="15.75" customHeight="1">
      <c r="A1022" s="33">
        <v>46169.67493574074</v>
      </c>
      <c r="B1022" s="34" t="s">
        <v>2</v>
      </c>
      <c r="C1022" s="34" t="s">
        <v>2251</v>
      </c>
      <c r="D1022" s="34" t="s">
        <v>922</v>
      </c>
      <c r="E1022" s="34" t="s">
        <v>2334</v>
      </c>
      <c r="F1022" s="34">
        <v>1.0</v>
      </c>
      <c r="G1022" s="34">
        <v>20.0</v>
      </c>
      <c r="H1022" s="34" t="s">
        <v>29</v>
      </c>
      <c r="I1022" s="34" t="s">
        <v>40</v>
      </c>
      <c r="J1022" s="34" t="s">
        <v>2337</v>
      </c>
      <c r="K1022" s="34" t="s">
        <v>987</v>
      </c>
      <c r="L1022" s="34" t="s">
        <v>271</v>
      </c>
      <c r="M1022" s="41" t="s">
        <v>2338</v>
      </c>
      <c r="O1022" s="34" t="s">
        <v>40</v>
      </c>
      <c r="P1022" s="34">
        <v>16.0</v>
      </c>
      <c r="Q1022" s="34">
        <v>3200.0</v>
      </c>
      <c r="R1022" s="34" t="s">
        <v>34</v>
      </c>
      <c r="S1022" s="34" t="s">
        <v>1225</v>
      </c>
    </row>
    <row r="1023" ht="15.75" customHeight="1">
      <c r="A1023" s="33">
        <v>46170.85678450231</v>
      </c>
      <c r="B1023" s="34" t="s">
        <v>138</v>
      </c>
      <c r="D1023" s="34" t="s">
        <v>119</v>
      </c>
      <c r="E1023" s="34" t="s">
        <v>2339</v>
      </c>
      <c r="F1023" s="34">
        <v>1.0</v>
      </c>
      <c r="G1023" s="34">
        <v>32.0</v>
      </c>
      <c r="H1023" s="34" t="s">
        <v>40</v>
      </c>
      <c r="K1023" s="34" t="s">
        <v>2340</v>
      </c>
      <c r="O1023" s="34" t="s">
        <v>29</v>
      </c>
      <c r="P1023" s="34">
        <v>32.0</v>
      </c>
      <c r="Q1023" s="34">
        <v>3200.0</v>
      </c>
      <c r="R1023" s="34" t="s">
        <v>34</v>
      </c>
      <c r="S1023" s="34" t="s">
        <v>1220</v>
      </c>
    </row>
    <row r="1024" ht="15.75" customHeight="1">
      <c r="A1024" s="33">
        <v>46170.936654537036</v>
      </c>
      <c r="B1024" s="34" t="s">
        <v>124</v>
      </c>
      <c r="C1024" s="34" t="s">
        <v>2341</v>
      </c>
      <c r="D1024" s="34" t="s">
        <v>38</v>
      </c>
      <c r="E1024" s="34" t="s">
        <v>265</v>
      </c>
      <c r="F1024" s="34">
        <v>1.0</v>
      </c>
      <c r="G1024" s="34">
        <v>10.0</v>
      </c>
      <c r="H1024" s="34" t="s">
        <v>40</v>
      </c>
      <c r="K1024" s="34" t="s">
        <v>2342</v>
      </c>
      <c r="L1024" s="34" t="s">
        <v>111</v>
      </c>
      <c r="M1024" s="34" t="s">
        <v>2343</v>
      </c>
      <c r="N1024" s="34" t="s">
        <v>814</v>
      </c>
      <c r="O1024" s="34" t="s">
        <v>126</v>
      </c>
      <c r="P1024" s="34">
        <v>8.0</v>
      </c>
      <c r="Q1024" s="34">
        <v>2666.0</v>
      </c>
      <c r="R1024" s="34" t="s">
        <v>34</v>
      </c>
      <c r="S1024" s="34" t="s">
        <v>1217</v>
      </c>
    </row>
    <row r="1025" ht="15.75" customHeight="1">
      <c r="A1025" s="33">
        <v>46171.3586178588</v>
      </c>
      <c r="B1025" s="34" t="s">
        <v>118</v>
      </c>
      <c r="C1025" s="34" t="s">
        <v>2341</v>
      </c>
      <c r="D1025" s="34" t="s">
        <v>119</v>
      </c>
      <c r="E1025" s="34" t="s">
        <v>2344</v>
      </c>
      <c r="F1025" s="34">
        <v>1.0</v>
      </c>
      <c r="G1025" s="34">
        <v>4.0</v>
      </c>
      <c r="H1025" s="34" t="s">
        <v>29</v>
      </c>
      <c r="I1025" s="34" t="s">
        <v>40</v>
      </c>
      <c r="K1025" s="34" t="s">
        <v>2345</v>
      </c>
      <c r="L1025" s="34" t="s">
        <v>140</v>
      </c>
      <c r="M1025" s="34" t="s">
        <v>2346</v>
      </c>
      <c r="N1025" s="34" t="s">
        <v>2347</v>
      </c>
      <c r="O1025" s="34" t="s">
        <v>126</v>
      </c>
      <c r="P1025" s="34">
        <v>16.0</v>
      </c>
      <c r="Q1025" s="34">
        <v>2400.0</v>
      </c>
      <c r="R1025" s="34" t="s">
        <v>34</v>
      </c>
      <c r="S1025" s="34" t="s">
        <v>1217</v>
      </c>
    </row>
    <row r="1026" ht="15.75" customHeight="1">
      <c r="A1026" s="33">
        <v>46175.33161674769</v>
      </c>
      <c r="B1026" s="34" t="s">
        <v>1796</v>
      </c>
      <c r="C1026" s="34" t="s">
        <v>2348</v>
      </c>
      <c r="D1026" s="34" t="s">
        <v>1573</v>
      </c>
      <c r="E1026" s="34" t="s">
        <v>2349</v>
      </c>
      <c r="F1026" s="34">
        <v>1.0</v>
      </c>
      <c r="G1026" s="34">
        <v>10.0</v>
      </c>
      <c r="H1026" s="34" t="s">
        <v>29</v>
      </c>
      <c r="I1026" s="34" t="s">
        <v>40</v>
      </c>
      <c r="K1026" s="34" t="s">
        <v>2350</v>
      </c>
      <c r="O1026" s="34" t="s">
        <v>126</v>
      </c>
      <c r="P1026" s="34">
        <v>8.0</v>
      </c>
      <c r="Q1026" s="34">
        <v>3200.0</v>
      </c>
      <c r="R1026" s="34" t="s">
        <v>34</v>
      </c>
      <c r="S1026" s="34" t="s">
        <v>1217</v>
      </c>
    </row>
    <row r="1027" ht="15.75" customHeight="1">
      <c r="A1027" s="33">
        <v>46175.55417729166</v>
      </c>
      <c r="B1027" s="34" t="s">
        <v>1796</v>
      </c>
      <c r="C1027" s="34" t="s">
        <v>2251</v>
      </c>
      <c r="D1027" s="34" t="s">
        <v>38</v>
      </c>
      <c r="E1027" s="34" t="s">
        <v>2351</v>
      </c>
      <c r="F1027" s="34">
        <v>1.0</v>
      </c>
      <c r="G1027" s="34">
        <v>18.0</v>
      </c>
      <c r="H1027" s="34" t="s">
        <v>29</v>
      </c>
      <c r="I1027" s="34" t="s">
        <v>40</v>
      </c>
      <c r="K1027" s="34" t="s">
        <v>2330</v>
      </c>
      <c r="L1027" s="34" t="s">
        <v>151</v>
      </c>
      <c r="M1027" s="34" t="s">
        <v>1157</v>
      </c>
      <c r="O1027" s="34" t="s">
        <v>40</v>
      </c>
      <c r="P1027" s="34">
        <v>16.0</v>
      </c>
      <c r="Q1027" s="34">
        <v>3200.0</v>
      </c>
      <c r="R1027" s="34" t="s">
        <v>34</v>
      </c>
      <c r="S1027" s="34" t="s">
        <v>1220</v>
      </c>
    </row>
    <row r="1028" ht="15.75" customHeight="1">
      <c r="A1028" s="33">
        <v>46178.49551983796</v>
      </c>
      <c r="B1028" s="34" t="s">
        <v>465</v>
      </c>
      <c r="C1028" s="34" t="s">
        <v>544</v>
      </c>
      <c r="D1028" s="34" t="s">
        <v>101</v>
      </c>
      <c r="E1028" s="34" t="s">
        <v>2352</v>
      </c>
      <c r="F1028" s="34">
        <v>1.0</v>
      </c>
      <c r="G1028" s="34">
        <v>18.0</v>
      </c>
      <c r="H1028" s="34" t="s">
        <v>29</v>
      </c>
      <c r="I1028" s="34" t="s">
        <v>40</v>
      </c>
      <c r="J1028" s="34" t="s">
        <v>2353</v>
      </c>
      <c r="K1028" s="34" t="s">
        <v>1302</v>
      </c>
      <c r="L1028" s="34" t="s">
        <v>1156</v>
      </c>
      <c r="M1028" s="34" t="s">
        <v>1157</v>
      </c>
      <c r="O1028" s="34" t="s">
        <v>126</v>
      </c>
      <c r="P1028" s="34">
        <v>16.0</v>
      </c>
      <c r="Q1028" s="34">
        <v>3200.0</v>
      </c>
      <c r="R1028" s="34" t="s">
        <v>34</v>
      </c>
      <c r="S1028" s="34" t="s">
        <v>1225</v>
      </c>
    </row>
    <row r="1029" ht="15.75" customHeight="1">
      <c r="A1029" s="33">
        <v>46178.49732875</v>
      </c>
      <c r="B1029" s="34" t="s">
        <v>465</v>
      </c>
      <c r="C1029" s="34" t="s">
        <v>544</v>
      </c>
      <c r="D1029" s="34" t="s">
        <v>101</v>
      </c>
      <c r="E1029" s="34" t="s">
        <v>1756</v>
      </c>
      <c r="F1029" s="34">
        <v>1.0</v>
      </c>
      <c r="G1029" s="34">
        <v>10.0</v>
      </c>
      <c r="H1029" s="34" t="s">
        <v>40</v>
      </c>
      <c r="J1029" s="34" t="s">
        <v>2354</v>
      </c>
      <c r="K1029" s="34" t="s">
        <v>1302</v>
      </c>
      <c r="L1029" s="34" t="s">
        <v>1156</v>
      </c>
      <c r="M1029" s="34" t="s">
        <v>1820</v>
      </c>
      <c r="O1029" s="34" t="s">
        <v>126</v>
      </c>
      <c r="P1029" s="34">
        <v>8.0</v>
      </c>
      <c r="Q1029" s="34">
        <v>3200.0</v>
      </c>
      <c r="R1029" s="34" t="s">
        <v>34</v>
      </c>
      <c r="S1029" s="34" t="s">
        <v>1217</v>
      </c>
    </row>
    <row r="1030" ht="15.75" customHeight="1">
      <c r="A1030" s="33">
        <v>46181.40947854167</v>
      </c>
      <c r="B1030" s="34" t="s">
        <v>169</v>
      </c>
      <c r="C1030" s="34" t="s">
        <v>2251</v>
      </c>
      <c r="D1030" s="34" t="s">
        <v>2355</v>
      </c>
      <c r="E1030" s="34" t="s">
        <v>2356</v>
      </c>
      <c r="F1030" s="34">
        <v>2.0</v>
      </c>
      <c r="G1030" s="34">
        <v>16.0</v>
      </c>
      <c r="H1030" s="34" t="s">
        <v>29</v>
      </c>
      <c r="I1030" s="34" t="s">
        <v>40</v>
      </c>
      <c r="J1030" s="34" t="s">
        <v>2357</v>
      </c>
      <c r="K1030" s="34" t="s">
        <v>2358</v>
      </c>
      <c r="L1030" s="34" t="s">
        <v>111</v>
      </c>
      <c r="M1030" s="41" t="s">
        <v>50</v>
      </c>
      <c r="O1030" s="34" t="s">
        <v>40</v>
      </c>
      <c r="P1030" s="34">
        <v>8.0</v>
      </c>
      <c r="Q1030" s="34">
        <v>2666.0</v>
      </c>
      <c r="R1030" s="34" t="s">
        <v>34</v>
      </c>
      <c r="S1030" s="34" t="s">
        <v>1217</v>
      </c>
    </row>
    <row r="1031" ht="15.75" customHeight="1">
      <c r="A1031" s="33">
        <v>46183.51132288194</v>
      </c>
      <c r="B1031" s="34" t="s">
        <v>465</v>
      </c>
      <c r="C1031" s="34" t="s">
        <v>2251</v>
      </c>
      <c r="D1031" s="34" t="s">
        <v>119</v>
      </c>
      <c r="E1031" s="34" t="s">
        <v>473</v>
      </c>
      <c r="F1031" s="34">
        <v>1.0</v>
      </c>
      <c r="G1031" s="34">
        <v>18.0</v>
      </c>
      <c r="H1031" s="34" t="s">
        <v>29</v>
      </c>
      <c r="I1031" s="34" t="s">
        <v>40</v>
      </c>
      <c r="J1031" s="34" t="s">
        <v>2359</v>
      </c>
      <c r="K1031" s="34" t="s">
        <v>2360</v>
      </c>
      <c r="O1031" s="34" t="s">
        <v>40</v>
      </c>
      <c r="P1031" s="34">
        <v>16.0</v>
      </c>
      <c r="Q1031" s="34">
        <v>2666.0</v>
      </c>
      <c r="R1031" s="34" t="s">
        <v>34</v>
      </c>
      <c r="S1031" s="34" t="s">
        <v>1225</v>
      </c>
    </row>
    <row r="1032" ht="15.75" customHeight="1">
      <c r="A1032" s="33">
        <v>46184.73343045139</v>
      </c>
      <c r="B1032" s="34" t="s">
        <v>2</v>
      </c>
      <c r="C1032" s="34" t="s">
        <v>2251</v>
      </c>
      <c r="D1032" s="34" t="s">
        <v>1046</v>
      </c>
      <c r="E1032" s="34" t="s">
        <v>2361</v>
      </c>
      <c r="F1032" s="34">
        <v>2.0</v>
      </c>
      <c r="G1032" s="34">
        <v>16.0</v>
      </c>
      <c r="H1032" s="34" t="s">
        <v>29</v>
      </c>
      <c r="I1032" s="34" t="s">
        <v>40</v>
      </c>
      <c r="J1032" s="34" t="s">
        <v>2362</v>
      </c>
      <c r="K1032" s="34" t="s">
        <v>2363</v>
      </c>
      <c r="M1032" s="34" t="s">
        <v>1913</v>
      </c>
      <c r="N1032" s="34" t="s">
        <v>2364</v>
      </c>
      <c r="O1032" s="34" t="s">
        <v>40</v>
      </c>
      <c r="P1032" s="34">
        <v>8.0</v>
      </c>
      <c r="Q1032" s="34">
        <v>3200.0</v>
      </c>
      <c r="R1032" s="34" t="s">
        <v>34</v>
      </c>
      <c r="S1032" s="34" t="s">
        <v>1217</v>
      </c>
    </row>
    <row r="1033" ht="15.75" customHeight="1">
      <c r="A1033" s="33">
        <v>46186.21009335648</v>
      </c>
      <c r="B1033" s="34" t="s">
        <v>169</v>
      </c>
      <c r="C1033" s="34" t="s">
        <v>2251</v>
      </c>
      <c r="D1033" s="34" t="s">
        <v>38</v>
      </c>
      <c r="E1033" s="34" t="s">
        <v>2365</v>
      </c>
      <c r="F1033" s="34">
        <v>2.0</v>
      </c>
      <c r="G1033" s="34">
        <v>32.0</v>
      </c>
      <c r="H1033" s="34" t="s">
        <v>29</v>
      </c>
      <c r="I1033" s="34" t="s">
        <v>40</v>
      </c>
      <c r="K1033" s="34" t="s">
        <v>2366</v>
      </c>
      <c r="L1033" s="34" t="s">
        <v>271</v>
      </c>
      <c r="M1033" s="34" t="s">
        <v>2367</v>
      </c>
      <c r="N1033" s="34" t="s">
        <v>2368</v>
      </c>
      <c r="O1033" s="34" t="s">
        <v>40</v>
      </c>
      <c r="P1033" s="34">
        <v>16.0</v>
      </c>
      <c r="Q1033" s="34">
        <v>3200.0</v>
      </c>
      <c r="R1033" s="34" t="s">
        <v>34</v>
      </c>
      <c r="S1033" s="34" t="s">
        <v>1217</v>
      </c>
    </row>
    <row r="1034" ht="15.75" customHeight="1">
      <c r="A1034" s="33">
        <v>46193.315859282404</v>
      </c>
      <c r="B1034" s="34" t="s">
        <v>1796</v>
      </c>
      <c r="C1034" s="34" t="s">
        <v>2251</v>
      </c>
      <c r="D1034" s="34" t="s">
        <v>852</v>
      </c>
      <c r="E1034" s="34" t="s">
        <v>1812</v>
      </c>
      <c r="F1034" s="34">
        <v>1.0</v>
      </c>
      <c r="G1034" s="34">
        <v>18.0</v>
      </c>
      <c r="H1034" s="34" t="s">
        <v>29</v>
      </c>
      <c r="I1034" s="34" t="s">
        <v>40</v>
      </c>
      <c r="K1034" s="34" t="s">
        <v>2369</v>
      </c>
      <c r="L1034" s="34" t="s">
        <v>835</v>
      </c>
      <c r="M1034" s="34" t="s">
        <v>2370</v>
      </c>
      <c r="O1034" s="34" t="s">
        <v>126</v>
      </c>
      <c r="P1034" s="34">
        <v>16.0</v>
      </c>
      <c r="Q1034" s="34">
        <v>3200.0</v>
      </c>
      <c r="R1034" s="34" t="s">
        <v>34</v>
      </c>
      <c r="S1034" s="34" t="s">
        <v>1220</v>
      </c>
    </row>
    <row r="1035" ht="15.75" customHeight="1">
      <c r="A1035" s="33">
        <v>46194.71682019676</v>
      </c>
      <c r="B1035" s="34" t="s">
        <v>1796</v>
      </c>
      <c r="C1035" s="34" t="s">
        <v>2371</v>
      </c>
      <c r="D1035" s="34" t="s">
        <v>38</v>
      </c>
      <c r="E1035" s="34" t="s">
        <v>2372</v>
      </c>
      <c r="F1035" s="34">
        <v>1.0</v>
      </c>
      <c r="G1035" s="34">
        <v>18.0</v>
      </c>
      <c r="H1035" s="34" t="s">
        <v>40</v>
      </c>
      <c r="J1035" s="34" t="s">
        <v>2373</v>
      </c>
      <c r="K1035" s="34" t="s">
        <v>2374</v>
      </c>
      <c r="L1035" s="34" t="s">
        <v>103</v>
      </c>
      <c r="M1035" s="34" t="s">
        <v>2375</v>
      </c>
      <c r="O1035" s="34" t="s">
        <v>126</v>
      </c>
      <c r="P1035" s="34">
        <v>16.0</v>
      </c>
      <c r="Q1035" s="34">
        <v>3200.0</v>
      </c>
      <c r="R1035" s="34" t="s">
        <v>34</v>
      </c>
      <c r="S1035" s="34" t="s">
        <v>1220</v>
      </c>
    </row>
    <row r="1036" ht="15.75" customHeight="1">
      <c r="A1036" s="33">
        <v>46195.913607395836</v>
      </c>
      <c r="B1036" s="34" t="s">
        <v>1796</v>
      </c>
      <c r="C1036" s="34" t="s">
        <v>2251</v>
      </c>
      <c r="D1036" s="34" t="s">
        <v>27</v>
      </c>
      <c r="E1036" s="34" t="s">
        <v>2376</v>
      </c>
      <c r="F1036" s="34">
        <v>1.0</v>
      </c>
      <c r="G1036" s="34">
        <v>6.0</v>
      </c>
      <c r="H1036" s="34" t="s">
        <v>29</v>
      </c>
      <c r="I1036" s="34" t="s">
        <v>40</v>
      </c>
      <c r="K1036" s="34" t="s">
        <v>2377</v>
      </c>
      <c r="L1036" s="34" t="s">
        <v>611</v>
      </c>
      <c r="N1036" s="34" t="s">
        <v>2378</v>
      </c>
      <c r="O1036" s="34" t="s">
        <v>40</v>
      </c>
      <c r="P1036" s="34">
        <v>4.0</v>
      </c>
      <c r="Q1036" s="34">
        <v>2666.0</v>
      </c>
      <c r="R1036" s="34" t="s">
        <v>34</v>
      </c>
      <c r="S1036" s="34" t="s">
        <v>1217</v>
      </c>
    </row>
    <row r="1037" ht="15.75" customHeight="1">
      <c r="A1037" s="33">
        <v>46197.574480358795</v>
      </c>
      <c r="B1037" s="34" t="s">
        <v>1796</v>
      </c>
      <c r="C1037" s="34" t="s">
        <v>2251</v>
      </c>
      <c r="D1037" s="34" t="s">
        <v>119</v>
      </c>
      <c r="E1037" s="34" t="s">
        <v>1023</v>
      </c>
      <c r="F1037" s="34">
        <v>1.0</v>
      </c>
      <c r="G1037" s="34">
        <v>10.0</v>
      </c>
      <c r="H1037" s="34" t="s">
        <v>29</v>
      </c>
      <c r="I1037" s="34" t="s">
        <v>40</v>
      </c>
      <c r="J1037" s="34" t="s">
        <v>2379</v>
      </c>
      <c r="K1037" s="34" t="s">
        <v>2380</v>
      </c>
      <c r="L1037" s="34" t="s">
        <v>103</v>
      </c>
      <c r="M1037" s="41" t="s">
        <v>1686</v>
      </c>
      <c r="O1037" s="34" t="s">
        <v>126</v>
      </c>
      <c r="P1037" s="34">
        <v>8.0</v>
      </c>
      <c r="Q1037" s="34">
        <v>2666.0</v>
      </c>
      <c r="R1037" s="34" t="s">
        <v>34</v>
      </c>
      <c r="S1037" s="34" t="s">
        <v>1220</v>
      </c>
    </row>
    <row r="1038" ht="15.75" customHeight="1">
      <c r="A1038" s="33">
        <v>46199.86318108796</v>
      </c>
      <c r="B1038" s="34" t="s">
        <v>298</v>
      </c>
      <c r="C1038" s="34" t="s">
        <v>2341</v>
      </c>
      <c r="D1038" s="34" t="s">
        <v>38</v>
      </c>
      <c r="E1038" s="34" t="s">
        <v>2381</v>
      </c>
      <c r="F1038" s="34">
        <v>2.0</v>
      </c>
      <c r="G1038" s="34">
        <v>16.0</v>
      </c>
      <c r="H1038" s="34" t="s">
        <v>40</v>
      </c>
      <c r="I1038" s="34" t="s">
        <v>40</v>
      </c>
      <c r="K1038" s="34" t="s">
        <v>2382</v>
      </c>
      <c r="L1038" s="34" t="s">
        <v>103</v>
      </c>
      <c r="M1038" s="41" t="s">
        <v>50</v>
      </c>
      <c r="N1038" s="34" t="s">
        <v>814</v>
      </c>
      <c r="O1038" s="34" t="s">
        <v>126</v>
      </c>
      <c r="P1038" s="34">
        <v>8.0</v>
      </c>
      <c r="Q1038" s="34">
        <v>1600.0</v>
      </c>
      <c r="R1038" s="34" t="s">
        <v>1219</v>
      </c>
      <c r="S1038" s="34" t="s">
        <v>1225</v>
      </c>
    </row>
    <row r="1039" ht="15.75" customHeight="1">
      <c r="A1039" s="33">
        <v>46199.8674740162</v>
      </c>
      <c r="B1039" s="34" t="s">
        <v>298</v>
      </c>
      <c r="C1039" s="34" t="s">
        <v>2341</v>
      </c>
      <c r="D1039" s="34" t="s">
        <v>101</v>
      </c>
      <c r="E1039" s="34" t="s">
        <v>2383</v>
      </c>
      <c r="F1039" s="34">
        <v>2.0</v>
      </c>
      <c r="G1039" s="34">
        <v>8.0</v>
      </c>
      <c r="H1039" s="34" t="s">
        <v>40</v>
      </c>
      <c r="I1039" s="34" t="s">
        <v>40</v>
      </c>
      <c r="K1039" s="34" t="s">
        <v>2382</v>
      </c>
      <c r="L1039" s="34" t="s">
        <v>103</v>
      </c>
      <c r="M1039" s="34" t="s">
        <v>418</v>
      </c>
      <c r="N1039" s="34" t="s">
        <v>814</v>
      </c>
      <c r="O1039" s="34" t="s">
        <v>40</v>
      </c>
      <c r="P1039" s="34">
        <v>4.0</v>
      </c>
      <c r="Q1039" s="34">
        <v>1866.0</v>
      </c>
      <c r="R1039" s="34" t="s">
        <v>1219</v>
      </c>
      <c r="S1039" s="34" t="s">
        <v>1225</v>
      </c>
    </row>
    <row r="1040" ht="15.75" customHeight="1">
      <c r="A1040" s="33">
        <v>46201.65800603009</v>
      </c>
      <c r="B1040" s="34" t="s">
        <v>1722</v>
      </c>
      <c r="C1040" s="34" t="s">
        <v>2371</v>
      </c>
      <c r="D1040" s="34" t="s">
        <v>27</v>
      </c>
      <c r="E1040" s="34" t="s">
        <v>157</v>
      </c>
      <c r="F1040" s="34">
        <v>1.0</v>
      </c>
      <c r="G1040" s="34">
        <v>18.0</v>
      </c>
      <c r="H1040" s="34" t="s">
        <v>29</v>
      </c>
      <c r="I1040" s="34" t="s">
        <v>40</v>
      </c>
      <c r="J1040" s="34" t="s">
        <v>2384</v>
      </c>
      <c r="K1040" s="34" t="s">
        <v>2385</v>
      </c>
      <c r="O1040" s="34" t="s">
        <v>40</v>
      </c>
      <c r="P1040" s="34">
        <v>16.0</v>
      </c>
      <c r="Q1040" s="34">
        <v>2666.0</v>
      </c>
      <c r="R1040" s="34" t="s">
        <v>34</v>
      </c>
      <c r="S1040" s="34" t="s">
        <v>1217</v>
      </c>
    </row>
    <row r="1041" ht="15.75" customHeight="1">
      <c r="A1041" s="33">
        <v>46210.67367498843</v>
      </c>
      <c r="B1041" s="34" t="s">
        <v>2386</v>
      </c>
      <c r="C1041" s="34">
        <v>7.4</v>
      </c>
      <c r="D1041" s="34" t="s">
        <v>565</v>
      </c>
      <c r="E1041" s="34" t="s">
        <v>864</v>
      </c>
      <c r="F1041" s="34">
        <v>2.0</v>
      </c>
      <c r="G1041" s="34">
        <v>32.0</v>
      </c>
      <c r="H1041" s="34" t="s">
        <v>29</v>
      </c>
      <c r="I1041" s="34" t="s">
        <v>40</v>
      </c>
      <c r="K1041" s="34" t="s">
        <v>2387</v>
      </c>
      <c r="L1041" s="34" t="s">
        <v>111</v>
      </c>
      <c r="M1041" s="41" t="s">
        <v>116</v>
      </c>
      <c r="O1041" s="34" t="s">
        <v>29</v>
      </c>
      <c r="P1041" s="34">
        <v>16.0</v>
      </c>
      <c r="Q1041" s="34">
        <v>2666.0</v>
      </c>
      <c r="R1041" s="34" t="s">
        <v>34</v>
      </c>
      <c r="S1041" s="34" t="s">
        <v>1225</v>
      </c>
    </row>
    <row r="1042" ht="15.75" customHeight="1">
      <c r="A1042" s="33">
        <v>46210.75972569444</v>
      </c>
      <c r="B1042" s="34" t="s">
        <v>1796</v>
      </c>
      <c r="C1042" s="34" t="s">
        <v>2371</v>
      </c>
      <c r="D1042" s="34" t="s">
        <v>1368</v>
      </c>
      <c r="E1042" s="34" t="s">
        <v>2388</v>
      </c>
      <c r="F1042" s="34">
        <v>1.0</v>
      </c>
      <c r="G1042" s="34">
        <v>10.0</v>
      </c>
      <c r="H1042" s="34" t="s">
        <v>29</v>
      </c>
      <c r="I1042" s="34" t="s">
        <v>40</v>
      </c>
      <c r="J1042" s="34" t="s">
        <v>2389</v>
      </c>
      <c r="K1042" s="34" t="s">
        <v>2390</v>
      </c>
      <c r="L1042" s="34" t="s">
        <v>111</v>
      </c>
      <c r="M1042" s="34" t="s">
        <v>109</v>
      </c>
      <c r="N1042" s="34" t="s">
        <v>2391</v>
      </c>
      <c r="O1042" s="34" t="s">
        <v>40</v>
      </c>
      <c r="P1042" s="34">
        <v>8.0</v>
      </c>
      <c r="Q1042" s="34">
        <v>2666.0</v>
      </c>
      <c r="R1042" s="34" t="s">
        <v>34</v>
      </c>
      <c r="S1042" s="34" t="s">
        <v>1217</v>
      </c>
    </row>
    <row r="1043" ht="15.75" customHeight="1">
      <c r="A1043" s="33">
        <v>46212.660545879626</v>
      </c>
      <c r="B1043" s="34" t="s">
        <v>2</v>
      </c>
      <c r="C1043" s="34" t="s">
        <v>2392</v>
      </c>
      <c r="D1043" s="34" t="s">
        <v>2393</v>
      </c>
      <c r="E1043" s="34" t="s">
        <v>2394</v>
      </c>
      <c r="F1043" s="34">
        <v>2.0</v>
      </c>
      <c r="G1043" s="34">
        <v>16.0</v>
      </c>
      <c r="H1043" s="34" t="s">
        <v>29</v>
      </c>
      <c r="I1043" s="34" t="s">
        <v>40</v>
      </c>
      <c r="J1043" s="34" t="s">
        <v>2395</v>
      </c>
      <c r="K1043" s="34" t="s">
        <v>2396</v>
      </c>
      <c r="L1043" s="34" t="s">
        <v>111</v>
      </c>
      <c r="M1043" s="34" t="s">
        <v>279</v>
      </c>
      <c r="O1043" s="34" t="s">
        <v>29</v>
      </c>
      <c r="P1043" s="34">
        <v>8.0</v>
      </c>
      <c r="Q1043" s="34">
        <v>2400.0</v>
      </c>
      <c r="R1043" s="34" t="s">
        <v>34</v>
      </c>
      <c r="S1043" s="34" t="s">
        <v>1220</v>
      </c>
    </row>
    <row r="1044" ht="15.75" customHeight="1">
      <c r="A1044" s="33">
        <v>46214.63309320602</v>
      </c>
      <c r="B1044" s="34" t="s">
        <v>288</v>
      </c>
      <c r="C1044" s="34" t="s">
        <v>2397</v>
      </c>
      <c r="D1044" s="34" t="s">
        <v>119</v>
      </c>
      <c r="E1044" s="34" t="s">
        <v>473</v>
      </c>
      <c r="F1044" s="34">
        <v>1.0</v>
      </c>
      <c r="G1044" s="34">
        <v>18.0</v>
      </c>
      <c r="H1044" s="34" t="s">
        <v>29</v>
      </c>
      <c r="I1044" s="34" t="s">
        <v>40</v>
      </c>
      <c r="J1044" s="34" t="s">
        <v>2398</v>
      </c>
      <c r="K1044" s="34" t="s">
        <v>1288</v>
      </c>
      <c r="L1044" s="34" t="s">
        <v>31</v>
      </c>
      <c r="M1044" s="34" t="s">
        <v>2129</v>
      </c>
      <c r="O1044" s="34" t="s">
        <v>40</v>
      </c>
      <c r="P1044" s="34">
        <v>16.0</v>
      </c>
      <c r="Q1044" s="34">
        <v>2666.0</v>
      </c>
      <c r="R1044" s="34" t="s">
        <v>34</v>
      </c>
      <c r="S1044" s="34" t="s">
        <v>1225</v>
      </c>
    </row>
    <row r="1045" ht="15.75" customHeight="1">
      <c r="A1045" s="33">
        <v>46218.03958256944</v>
      </c>
      <c r="B1045" s="34" t="s">
        <v>1796</v>
      </c>
      <c r="C1045" s="34" t="s">
        <v>2371</v>
      </c>
      <c r="D1045" s="34" t="s">
        <v>27</v>
      </c>
      <c r="E1045" s="34" t="s">
        <v>1312</v>
      </c>
      <c r="F1045" s="34">
        <v>1.0</v>
      </c>
      <c r="G1045" s="34">
        <v>18.0</v>
      </c>
      <c r="H1045" s="34" t="s">
        <v>29</v>
      </c>
      <c r="I1045" s="34" t="s">
        <v>40</v>
      </c>
      <c r="J1045" s="34" t="s">
        <v>2399</v>
      </c>
      <c r="K1045" s="34" t="s">
        <v>2400</v>
      </c>
      <c r="L1045" s="34" t="s">
        <v>943</v>
      </c>
      <c r="M1045" s="34" t="s">
        <v>2401</v>
      </c>
      <c r="O1045" s="34" t="s">
        <v>40</v>
      </c>
      <c r="P1045" s="34">
        <v>16.0</v>
      </c>
      <c r="Q1045" s="34">
        <v>3200.0</v>
      </c>
      <c r="R1045" s="34" t="s">
        <v>34</v>
      </c>
      <c r="S1045" s="34" t="s">
        <v>1225</v>
      </c>
    </row>
    <row r="1046" ht="15.75" customHeight="1">
      <c r="A1046" s="33">
        <v>46220.41383509259</v>
      </c>
      <c r="B1046" s="34" t="s">
        <v>2</v>
      </c>
      <c r="C1046" s="34" t="s">
        <v>2397</v>
      </c>
      <c r="D1046" s="34" t="s">
        <v>1284</v>
      </c>
      <c r="E1046" s="34" t="s">
        <v>1529</v>
      </c>
      <c r="F1046" s="34">
        <v>2.0</v>
      </c>
      <c r="G1046" s="34">
        <v>64.0</v>
      </c>
      <c r="H1046" s="34" t="s">
        <v>29</v>
      </c>
      <c r="I1046" s="34" t="s">
        <v>40</v>
      </c>
      <c r="K1046" s="34" t="s">
        <v>2402</v>
      </c>
      <c r="L1046" s="34" t="s">
        <v>436</v>
      </c>
      <c r="M1046" s="34" t="s">
        <v>2403</v>
      </c>
      <c r="O1046" s="34" t="s">
        <v>40</v>
      </c>
      <c r="P1046" s="34">
        <v>32.0</v>
      </c>
      <c r="Q1046" s="34">
        <v>3200.0</v>
      </c>
      <c r="R1046" s="34" t="s">
        <v>34</v>
      </c>
      <c r="S1046" s="34" t="s">
        <v>1220</v>
      </c>
    </row>
    <row r="1047" ht="15.75" customHeight="1">
      <c r="A1047" s="33">
        <v>46231.90882655093</v>
      </c>
      <c r="B1047" s="34" t="s">
        <v>1642</v>
      </c>
      <c r="C1047" s="34" t="s">
        <v>2371</v>
      </c>
      <c r="D1047" s="34" t="s">
        <v>1196</v>
      </c>
      <c r="E1047" s="34" t="s">
        <v>2404</v>
      </c>
      <c r="F1047" s="34">
        <v>1.0</v>
      </c>
      <c r="G1047" s="34">
        <v>8.0</v>
      </c>
      <c r="H1047" s="34" t="s">
        <v>29</v>
      </c>
      <c r="I1047" s="34" t="s">
        <v>40</v>
      </c>
      <c r="J1047" s="34" t="s">
        <v>2405</v>
      </c>
      <c r="K1047" s="34" t="s">
        <v>2406</v>
      </c>
      <c r="M1047" s="34" t="s">
        <v>2407</v>
      </c>
      <c r="N1047" s="34" t="s">
        <v>2408</v>
      </c>
      <c r="O1047" s="34" t="s">
        <v>29</v>
      </c>
      <c r="P1047" s="34">
        <v>4.0</v>
      </c>
      <c r="Q1047" s="34">
        <v>3200.0</v>
      </c>
      <c r="R1047" s="34" t="s">
        <v>34</v>
      </c>
      <c r="S1047" s="34" t="s">
        <v>1217</v>
      </c>
    </row>
    <row r="1048" ht="15.75" customHeight="1">
      <c r="A1048" s="33">
        <v>46234.61177034723</v>
      </c>
      <c r="B1048" s="34" t="s">
        <v>36</v>
      </c>
      <c r="C1048" s="34" t="s">
        <v>2397</v>
      </c>
      <c r="D1048" s="34" t="s">
        <v>38</v>
      </c>
      <c r="E1048" s="34" t="s">
        <v>2409</v>
      </c>
      <c r="F1048" s="34">
        <v>1.0</v>
      </c>
      <c r="G1048" s="34">
        <v>20.0</v>
      </c>
      <c r="H1048" s="34" t="s">
        <v>40</v>
      </c>
      <c r="J1048" s="34" t="s">
        <v>2410</v>
      </c>
      <c r="K1048" s="34" t="s">
        <v>2411</v>
      </c>
      <c r="L1048" s="34" t="s">
        <v>151</v>
      </c>
      <c r="M1048" s="34" t="s">
        <v>2094</v>
      </c>
      <c r="O1048" s="34" t="s">
        <v>40</v>
      </c>
      <c r="P1048" s="34">
        <v>16.0</v>
      </c>
      <c r="Q1048" s="34">
        <v>2666.0</v>
      </c>
      <c r="R1048" s="34" t="s">
        <v>34</v>
      </c>
      <c r="S1048" s="34" t="s">
        <v>1225</v>
      </c>
    </row>
    <row r="1049" ht="15.75" customHeight="1">
      <c r="A1049" s="33">
        <v>46237.776235833335</v>
      </c>
      <c r="B1049" s="34" t="s">
        <v>1796</v>
      </c>
      <c r="C1049" s="34" t="s">
        <v>2397</v>
      </c>
      <c r="D1049" s="34" t="s">
        <v>27</v>
      </c>
      <c r="E1049" s="34" t="s">
        <v>1669</v>
      </c>
      <c r="F1049" s="34">
        <v>1.0</v>
      </c>
      <c r="G1049" s="34">
        <v>10.0</v>
      </c>
      <c r="H1049" s="34" t="s">
        <v>29</v>
      </c>
      <c r="I1049" s="34" t="s">
        <v>40</v>
      </c>
      <c r="K1049" s="34" t="s">
        <v>2412</v>
      </c>
      <c r="L1049" s="34" t="s">
        <v>140</v>
      </c>
      <c r="M1049" s="41" t="s">
        <v>661</v>
      </c>
      <c r="O1049" s="34" t="s">
        <v>40</v>
      </c>
      <c r="P1049" s="34">
        <v>8.0</v>
      </c>
      <c r="Q1049" s="34">
        <v>3200.0</v>
      </c>
      <c r="R1049" s="34" t="s">
        <v>34</v>
      </c>
      <c r="S1049" s="34" t="s">
        <v>1217</v>
      </c>
    </row>
    <row r="1050" ht="15.75" customHeight="1">
      <c r="A1050" s="33">
        <v>46238.24607440972</v>
      </c>
      <c r="B1050" s="34" t="s">
        <v>45</v>
      </c>
      <c r="C1050" s="34" t="s">
        <v>2397</v>
      </c>
      <c r="D1050" s="34" t="s">
        <v>565</v>
      </c>
      <c r="E1050" s="34" t="s">
        <v>2413</v>
      </c>
      <c r="F1050" s="34">
        <v>2.0</v>
      </c>
      <c r="G1050" s="34">
        <v>64.0</v>
      </c>
      <c r="H1050" s="34" t="s">
        <v>40</v>
      </c>
      <c r="I1050" s="34" t="s">
        <v>40</v>
      </c>
      <c r="J1050" s="34" t="s">
        <v>2414</v>
      </c>
      <c r="K1050" s="34" t="s">
        <v>2415</v>
      </c>
      <c r="L1050" s="34" t="s">
        <v>111</v>
      </c>
      <c r="M1050" s="41" t="s">
        <v>50</v>
      </c>
      <c r="O1050" s="34" t="s">
        <v>29</v>
      </c>
      <c r="P1050" s="34">
        <v>64.0</v>
      </c>
      <c r="Q1050" s="34">
        <v>2666.0</v>
      </c>
      <c r="R1050" s="34" t="s">
        <v>34</v>
      </c>
      <c r="S1050" s="34" t="s">
        <v>1225</v>
      </c>
    </row>
    <row r="1051" ht="15.75" customHeight="1">
      <c r="A1051" s="33">
        <v>46243.72295096065</v>
      </c>
      <c r="B1051" s="34" t="s">
        <v>465</v>
      </c>
      <c r="C1051" s="34" t="s">
        <v>2416</v>
      </c>
      <c r="D1051" s="34" t="s">
        <v>27</v>
      </c>
      <c r="E1051" s="34" t="s">
        <v>924</v>
      </c>
      <c r="F1051" s="34">
        <v>1.0</v>
      </c>
      <c r="G1051" s="34">
        <v>18.0</v>
      </c>
      <c r="H1051" s="34" t="s">
        <v>29</v>
      </c>
      <c r="I1051" s="34" t="s">
        <v>40</v>
      </c>
      <c r="J1051" s="34" t="s">
        <v>2417</v>
      </c>
      <c r="K1051" s="34" t="s">
        <v>1208</v>
      </c>
      <c r="L1051" s="34" t="s">
        <v>2418</v>
      </c>
      <c r="M1051" s="34" t="s">
        <v>2419</v>
      </c>
      <c r="O1051" s="34" t="s">
        <v>40</v>
      </c>
      <c r="P1051" s="34">
        <v>16.0</v>
      </c>
      <c r="Q1051" s="34">
        <v>2400.0</v>
      </c>
      <c r="R1051" s="34" t="s">
        <v>34</v>
      </c>
      <c r="S1051" s="34" t="s">
        <v>1225</v>
      </c>
    </row>
    <row r="1052" ht="15.75" customHeight="1">
      <c r="A1052" s="33">
        <v>46244.734821736114</v>
      </c>
      <c r="B1052" s="34" t="s">
        <v>1642</v>
      </c>
      <c r="C1052" s="34" t="s">
        <v>2416</v>
      </c>
      <c r="D1052" s="34" t="s">
        <v>852</v>
      </c>
      <c r="E1052" s="34" t="s">
        <v>1812</v>
      </c>
      <c r="F1052" s="34">
        <v>1.0</v>
      </c>
      <c r="G1052" s="34">
        <v>20.0</v>
      </c>
      <c r="H1052" s="34" t="s">
        <v>29</v>
      </c>
      <c r="I1052" s="34" t="s">
        <v>40</v>
      </c>
      <c r="K1052" s="34" t="s">
        <v>2420</v>
      </c>
      <c r="L1052" s="34" t="s">
        <v>835</v>
      </c>
      <c r="O1052" s="34" t="s">
        <v>40</v>
      </c>
      <c r="P1052" s="34">
        <v>16.0</v>
      </c>
      <c r="Q1052" s="34">
        <v>3200.0</v>
      </c>
      <c r="R1052" s="34" t="s">
        <v>34</v>
      </c>
      <c r="S1052" s="34" t="s">
        <v>1220</v>
      </c>
    </row>
    <row r="1053" ht="15.75" customHeight="1">
      <c r="A1053" s="33">
        <v>46245.927728379625</v>
      </c>
      <c r="B1053" s="34" t="s">
        <v>1642</v>
      </c>
      <c r="C1053" s="34" t="s">
        <v>2416</v>
      </c>
      <c r="D1053" s="34" t="s">
        <v>119</v>
      </c>
      <c r="E1053" s="34" t="s">
        <v>2421</v>
      </c>
      <c r="F1053" s="34">
        <v>2.0</v>
      </c>
      <c r="G1053" s="34">
        <v>16.0</v>
      </c>
      <c r="H1053" s="34" t="s">
        <v>29</v>
      </c>
      <c r="I1053" s="34" t="s">
        <v>40</v>
      </c>
      <c r="K1053" s="34" t="s">
        <v>1348</v>
      </c>
      <c r="L1053" s="34" t="s">
        <v>585</v>
      </c>
      <c r="M1053" s="34" t="s">
        <v>2422</v>
      </c>
      <c r="O1053" s="34" t="s">
        <v>29</v>
      </c>
      <c r="P1053" s="34">
        <v>8.0</v>
      </c>
      <c r="Q1053" s="34">
        <v>3200.0</v>
      </c>
      <c r="R1053" s="34" t="s">
        <v>34</v>
      </c>
      <c r="S1053" s="34" t="s">
        <v>1225</v>
      </c>
    </row>
    <row r="1054">
      <c r="A1054" s="33">
        <v>46247.36870733796</v>
      </c>
      <c r="B1054" s="34" t="s">
        <v>1642</v>
      </c>
      <c r="C1054" s="34" t="s">
        <v>2416</v>
      </c>
      <c r="D1054" s="34" t="s">
        <v>2423</v>
      </c>
      <c r="E1054" s="34" t="s">
        <v>2424</v>
      </c>
      <c r="F1054" s="34">
        <v>1.0</v>
      </c>
      <c r="G1054" s="34">
        <v>16.0</v>
      </c>
      <c r="H1054" s="34" t="s">
        <v>29</v>
      </c>
      <c r="I1054" s="34" t="s">
        <v>40</v>
      </c>
      <c r="K1054" s="34" t="s">
        <v>2425</v>
      </c>
      <c r="O1054" s="34" t="s">
        <v>40</v>
      </c>
      <c r="P1054" s="34">
        <v>16.0</v>
      </c>
      <c r="Q1054" s="34">
        <v>3200.0</v>
      </c>
      <c r="R1054" s="34" t="s">
        <v>34</v>
      </c>
      <c r="S1054" s="34" t="s">
        <v>1220</v>
      </c>
    </row>
    <row r="1055" ht="15.75" customHeight="1">
      <c r="A1055" s="22"/>
      <c r="B1055" s="22"/>
      <c r="C1055" s="22"/>
      <c r="D1055" s="22"/>
      <c r="E1055" s="22"/>
      <c r="F1055" s="22"/>
      <c r="G1055" s="22"/>
      <c r="H1055" s="22"/>
      <c r="I1055" s="22"/>
      <c r="J1055" s="17"/>
      <c r="K1055" s="22"/>
      <c r="L1055" s="22"/>
      <c r="M1055" s="17"/>
      <c r="N1055" s="17"/>
      <c r="O1055" s="23"/>
      <c r="P1055" s="23"/>
      <c r="Q1055" s="23"/>
      <c r="R1055" s="23"/>
      <c r="S1055" s="23"/>
      <c r="T1055" s="23"/>
      <c r="U1055" s="22"/>
      <c r="V1055" s="22"/>
      <c r="W1055" s="22"/>
      <c r="X1055" s="22"/>
      <c r="Y1055" s="22"/>
      <c r="Z1055" s="22"/>
    </row>
    <row r="1056" ht="15.75" customHeight="1">
      <c r="A1056" s="22"/>
      <c r="B1056" s="22"/>
      <c r="C1056" s="22"/>
      <c r="D1056" s="22"/>
      <c r="E1056" s="22"/>
      <c r="F1056" s="22"/>
      <c r="G1056" s="22"/>
      <c r="H1056" s="22"/>
      <c r="I1056" s="22"/>
      <c r="J1056" s="17"/>
      <c r="K1056" s="22"/>
      <c r="L1056" s="22"/>
      <c r="M1056" s="17"/>
      <c r="N1056" s="17"/>
      <c r="O1056" s="23"/>
      <c r="P1056" s="23"/>
      <c r="Q1056" s="23"/>
      <c r="R1056" s="23"/>
      <c r="S1056" s="23"/>
      <c r="T1056" s="23"/>
      <c r="U1056" s="22"/>
      <c r="V1056" s="22"/>
      <c r="W1056" s="22"/>
      <c r="X1056" s="22"/>
      <c r="Y1056" s="22"/>
      <c r="Z1056" s="22"/>
    </row>
    <row r="1057" ht="15.75" customHeight="1">
      <c r="A1057" s="22"/>
      <c r="B1057" s="22"/>
      <c r="C1057" s="22"/>
      <c r="D1057" s="22"/>
      <c r="E1057" s="22"/>
      <c r="F1057" s="22"/>
      <c r="G1057" s="22"/>
      <c r="H1057" s="22"/>
      <c r="I1057" s="22"/>
      <c r="J1057" s="17"/>
      <c r="K1057" s="22"/>
      <c r="L1057" s="22"/>
      <c r="M1057" s="17"/>
      <c r="N1057" s="17"/>
      <c r="O1057" s="23"/>
      <c r="P1057" s="23"/>
      <c r="Q1057" s="23"/>
      <c r="R1057" s="23"/>
      <c r="S1057" s="23"/>
      <c r="T1057" s="23"/>
      <c r="U1057" s="22"/>
      <c r="V1057" s="22"/>
      <c r="W1057" s="22"/>
      <c r="X1057" s="22"/>
      <c r="Y1057" s="22"/>
      <c r="Z1057" s="22"/>
    </row>
    <row r="1058" ht="15.75" customHeight="1">
      <c r="A1058" s="22"/>
      <c r="B1058" s="22"/>
      <c r="C1058" s="22"/>
      <c r="D1058" s="22"/>
      <c r="E1058" s="22"/>
      <c r="F1058" s="22"/>
      <c r="G1058" s="22"/>
      <c r="H1058" s="22"/>
      <c r="I1058" s="22"/>
      <c r="J1058" s="17"/>
      <c r="K1058" s="22"/>
      <c r="L1058" s="22"/>
      <c r="M1058" s="17"/>
      <c r="N1058" s="17"/>
      <c r="O1058" s="23"/>
      <c r="P1058" s="23"/>
      <c r="Q1058" s="23"/>
      <c r="R1058" s="23"/>
      <c r="S1058" s="23"/>
      <c r="T1058" s="23"/>
      <c r="U1058" s="22"/>
      <c r="V1058" s="22"/>
      <c r="W1058" s="22"/>
      <c r="X1058" s="22"/>
      <c r="Y1058" s="22"/>
      <c r="Z1058" s="22"/>
    </row>
    <row r="1059" ht="15.75" customHeight="1">
      <c r="A1059" s="22"/>
      <c r="B1059" s="22"/>
      <c r="C1059" s="22"/>
      <c r="D1059" s="22"/>
      <c r="E1059" s="22"/>
      <c r="F1059" s="22"/>
      <c r="G1059" s="22"/>
      <c r="H1059" s="22"/>
      <c r="I1059" s="22"/>
      <c r="J1059" s="17"/>
      <c r="K1059" s="22"/>
      <c r="L1059" s="22"/>
      <c r="M1059" s="17"/>
      <c r="N1059" s="17"/>
      <c r="O1059" s="23"/>
      <c r="P1059" s="23"/>
      <c r="Q1059" s="23"/>
      <c r="R1059" s="23"/>
      <c r="S1059" s="23"/>
      <c r="T1059" s="23"/>
      <c r="U1059" s="22"/>
      <c r="V1059" s="22"/>
      <c r="W1059" s="22"/>
      <c r="X1059" s="22"/>
      <c r="Y1059" s="22"/>
      <c r="Z1059" s="22"/>
    </row>
    <row r="1060" ht="15.75" customHeight="1">
      <c r="A1060" s="22"/>
      <c r="B1060" s="22"/>
      <c r="C1060" s="22"/>
      <c r="D1060" s="22"/>
      <c r="E1060" s="22"/>
      <c r="F1060" s="22"/>
      <c r="G1060" s="22"/>
      <c r="H1060" s="22"/>
      <c r="I1060" s="22"/>
      <c r="J1060" s="17"/>
      <c r="K1060" s="22"/>
      <c r="L1060" s="22"/>
      <c r="M1060" s="17"/>
      <c r="N1060" s="17"/>
      <c r="O1060" s="23"/>
      <c r="P1060" s="23"/>
      <c r="Q1060" s="23"/>
      <c r="R1060" s="23"/>
      <c r="S1060" s="23"/>
      <c r="T1060" s="23"/>
      <c r="U1060" s="22"/>
      <c r="V1060" s="22"/>
      <c r="W1060" s="22"/>
      <c r="X1060" s="22"/>
      <c r="Y1060" s="22"/>
      <c r="Z1060" s="22"/>
    </row>
    <row r="1061" ht="15.75" customHeight="1">
      <c r="A1061" s="22"/>
      <c r="B1061" s="22"/>
      <c r="C1061" s="22"/>
      <c r="D1061" s="22"/>
      <c r="E1061" s="22"/>
      <c r="F1061" s="22"/>
      <c r="G1061" s="22"/>
      <c r="H1061" s="22"/>
      <c r="I1061" s="22"/>
      <c r="J1061" s="17"/>
      <c r="K1061" s="22"/>
      <c r="L1061" s="22"/>
      <c r="M1061" s="17"/>
      <c r="N1061" s="17"/>
      <c r="O1061" s="23"/>
      <c r="P1061" s="23"/>
      <c r="Q1061" s="23"/>
      <c r="R1061" s="23"/>
      <c r="S1061" s="23"/>
      <c r="T1061" s="23"/>
      <c r="U1061" s="22"/>
      <c r="V1061" s="22"/>
      <c r="W1061" s="22"/>
      <c r="X1061" s="22"/>
      <c r="Y1061" s="22"/>
      <c r="Z1061" s="22"/>
    </row>
    <row r="1062" ht="15.75" customHeight="1">
      <c r="A1062" s="22"/>
      <c r="B1062" s="22"/>
      <c r="C1062" s="22"/>
      <c r="D1062" s="22"/>
      <c r="E1062" s="22"/>
      <c r="F1062" s="22"/>
      <c r="G1062" s="22"/>
      <c r="H1062" s="22"/>
      <c r="I1062" s="22"/>
      <c r="J1062" s="17"/>
      <c r="K1062" s="22"/>
      <c r="L1062" s="22"/>
      <c r="M1062" s="17"/>
      <c r="N1062" s="17"/>
      <c r="O1062" s="23"/>
      <c r="P1062" s="23"/>
      <c r="Q1062" s="23"/>
      <c r="R1062" s="23"/>
      <c r="S1062" s="23"/>
      <c r="T1062" s="23"/>
      <c r="U1062" s="22"/>
      <c r="V1062" s="22"/>
      <c r="W1062" s="22"/>
      <c r="X1062" s="22"/>
      <c r="Y1062" s="22"/>
      <c r="Z1062" s="22"/>
    </row>
    <row r="1063" ht="15.75" customHeight="1">
      <c r="A1063" s="22"/>
      <c r="B1063" s="22"/>
      <c r="C1063" s="22"/>
      <c r="D1063" s="22"/>
      <c r="E1063" s="22"/>
      <c r="F1063" s="22"/>
      <c r="G1063" s="22"/>
      <c r="H1063" s="22"/>
      <c r="I1063" s="22"/>
      <c r="J1063" s="17"/>
      <c r="K1063" s="22"/>
      <c r="L1063" s="22"/>
      <c r="M1063" s="17"/>
      <c r="N1063" s="17"/>
      <c r="O1063" s="23"/>
      <c r="P1063" s="23"/>
      <c r="Q1063" s="23"/>
      <c r="R1063" s="23"/>
      <c r="S1063" s="23"/>
      <c r="T1063" s="23"/>
      <c r="U1063" s="22"/>
      <c r="V1063" s="22"/>
      <c r="W1063" s="22"/>
      <c r="X1063" s="22"/>
      <c r="Y1063" s="22"/>
      <c r="Z1063" s="22"/>
    </row>
    <row r="1064" ht="15.75" customHeight="1">
      <c r="A1064" s="22"/>
      <c r="B1064" s="22"/>
      <c r="C1064" s="22"/>
      <c r="D1064" s="22"/>
      <c r="E1064" s="22"/>
      <c r="F1064" s="22"/>
      <c r="G1064" s="22"/>
      <c r="H1064" s="22"/>
      <c r="I1064" s="22"/>
      <c r="J1064" s="17"/>
      <c r="K1064" s="22"/>
      <c r="L1064" s="22"/>
      <c r="M1064" s="17"/>
      <c r="N1064" s="17"/>
      <c r="O1064" s="23"/>
      <c r="P1064" s="23"/>
      <c r="Q1064" s="23"/>
      <c r="R1064" s="23"/>
      <c r="S1064" s="23"/>
      <c r="T1064" s="23"/>
      <c r="U1064" s="22"/>
      <c r="V1064" s="22"/>
      <c r="W1064" s="22"/>
      <c r="X1064" s="22"/>
      <c r="Y1064" s="22"/>
      <c r="Z1064" s="22"/>
    </row>
    <row r="1065" ht="15.75" customHeight="1">
      <c r="A1065" s="22"/>
      <c r="B1065" s="22"/>
      <c r="C1065" s="22"/>
      <c r="D1065" s="22"/>
      <c r="E1065" s="22"/>
      <c r="F1065" s="22"/>
      <c r="G1065" s="22"/>
      <c r="H1065" s="22"/>
      <c r="I1065" s="22"/>
      <c r="J1065" s="17"/>
      <c r="K1065" s="22"/>
      <c r="L1065" s="22"/>
      <c r="M1065" s="17"/>
      <c r="N1065" s="17"/>
      <c r="O1065" s="23"/>
      <c r="P1065" s="23"/>
      <c r="Q1065" s="23"/>
      <c r="R1065" s="23"/>
      <c r="S1065" s="23"/>
      <c r="T1065" s="23"/>
      <c r="U1065" s="22"/>
      <c r="V1065" s="22"/>
      <c r="W1065" s="22"/>
      <c r="X1065" s="22"/>
      <c r="Y1065" s="22"/>
      <c r="Z1065" s="22"/>
    </row>
    <row r="1066" ht="15.75" customHeight="1">
      <c r="A1066" s="22"/>
      <c r="B1066" s="22"/>
      <c r="C1066" s="22"/>
      <c r="D1066" s="22"/>
      <c r="E1066" s="22"/>
      <c r="F1066" s="22"/>
      <c r="G1066" s="22"/>
      <c r="H1066" s="22"/>
      <c r="I1066" s="22"/>
      <c r="J1066" s="17"/>
      <c r="K1066" s="22"/>
      <c r="L1066" s="22"/>
      <c r="M1066" s="17"/>
      <c r="N1066" s="17"/>
      <c r="O1066" s="23"/>
      <c r="P1066" s="23"/>
      <c r="Q1066" s="23"/>
      <c r="R1066" s="23"/>
      <c r="S1066" s="23"/>
      <c r="T1066" s="23"/>
      <c r="U1066" s="22"/>
      <c r="V1066" s="22"/>
      <c r="W1066" s="22"/>
      <c r="X1066" s="22"/>
      <c r="Y1066" s="22"/>
      <c r="Z1066" s="22"/>
    </row>
    <row r="1067" ht="15.75" customHeight="1">
      <c r="A1067" s="22"/>
      <c r="B1067" s="22"/>
      <c r="C1067" s="22"/>
      <c r="D1067" s="22"/>
      <c r="E1067" s="22"/>
      <c r="F1067" s="22"/>
      <c r="G1067" s="22"/>
      <c r="H1067" s="22"/>
      <c r="I1067" s="22"/>
      <c r="J1067" s="17"/>
      <c r="K1067" s="22"/>
      <c r="L1067" s="22"/>
      <c r="M1067" s="17"/>
      <c r="N1067" s="17"/>
      <c r="O1067" s="23"/>
      <c r="P1067" s="23"/>
      <c r="Q1067" s="23"/>
      <c r="R1067" s="23"/>
      <c r="S1067" s="23"/>
      <c r="T1067" s="23"/>
      <c r="U1067" s="22"/>
      <c r="V1067" s="22"/>
      <c r="W1067" s="22"/>
      <c r="X1067" s="22"/>
      <c r="Y1067" s="22"/>
      <c r="Z1067" s="22"/>
    </row>
    <row r="1068" ht="15.75" customHeight="1">
      <c r="A1068" s="22"/>
      <c r="B1068" s="22"/>
      <c r="C1068" s="22"/>
      <c r="D1068" s="22"/>
      <c r="E1068" s="22"/>
      <c r="F1068" s="22"/>
      <c r="G1068" s="22"/>
      <c r="H1068" s="22"/>
      <c r="I1068" s="22"/>
      <c r="J1068" s="17"/>
      <c r="K1068" s="22"/>
      <c r="L1068" s="22"/>
      <c r="M1068" s="17"/>
      <c r="N1068" s="17"/>
      <c r="O1068" s="23"/>
      <c r="P1068" s="23"/>
      <c r="Q1068" s="23"/>
      <c r="R1068" s="23"/>
      <c r="S1068" s="23"/>
      <c r="T1068" s="23"/>
      <c r="U1068" s="22"/>
      <c r="V1068" s="22"/>
      <c r="W1068" s="22"/>
      <c r="X1068" s="22"/>
      <c r="Y1068" s="22"/>
      <c r="Z1068" s="22"/>
    </row>
    <row r="1069" ht="15.75" customHeight="1">
      <c r="A1069" s="22"/>
      <c r="B1069" s="22"/>
      <c r="C1069" s="22"/>
      <c r="D1069" s="22"/>
      <c r="E1069" s="22"/>
      <c r="F1069" s="22"/>
      <c r="G1069" s="22"/>
      <c r="H1069" s="22"/>
      <c r="I1069" s="22"/>
      <c r="J1069" s="17"/>
      <c r="K1069" s="22"/>
      <c r="L1069" s="22"/>
      <c r="M1069" s="17"/>
      <c r="N1069" s="17"/>
      <c r="O1069" s="23"/>
      <c r="P1069" s="23"/>
      <c r="Q1069" s="23"/>
      <c r="R1069" s="23"/>
      <c r="S1069" s="23"/>
      <c r="T1069" s="23"/>
      <c r="U1069" s="22"/>
      <c r="V1069" s="22"/>
      <c r="W1069" s="22"/>
      <c r="X1069" s="22"/>
      <c r="Y1069" s="22"/>
      <c r="Z1069" s="22"/>
    </row>
    <row r="1070" ht="15.75" customHeight="1">
      <c r="A1070" s="22"/>
      <c r="B1070" s="22"/>
      <c r="C1070" s="22"/>
      <c r="D1070" s="22"/>
      <c r="E1070" s="22"/>
      <c r="F1070" s="22"/>
      <c r="G1070" s="22"/>
      <c r="H1070" s="22"/>
      <c r="I1070" s="22"/>
      <c r="J1070" s="17"/>
      <c r="K1070" s="22"/>
      <c r="L1070" s="22"/>
      <c r="M1070" s="17"/>
      <c r="N1070" s="17"/>
      <c r="O1070" s="23"/>
      <c r="P1070" s="23"/>
      <c r="Q1070" s="23"/>
      <c r="R1070" s="23"/>
      <c r="S1070" s="23"/>
      <c r="T1070" s="23"/>
      <c r="U1070" s="22"/>
      <c r="V1070" s="22"/>
      <c r="W1070" s="22"/>
      <c r="X1070" s="22"/>
      <c r="Y1070" s="22"/>
      <c r="Z1070" s="22"/>
    </row>
    <row r="1071" ht="15.75" customHeight="1">
      <c r="A1071" s="22"/>
      <c r="B1071" s="22"/>
      <c r="C1071" s="22"/>
      <c r="D1071" s="22"/>
      <c r="E1071" s="22"/>
      <c r="F1071" s="22"/>
      <c r="G1071" s="22"/>
      <c r="H1071" s="22"/>
      <c r="I1071" s="22"/>
      <c r="J1071" s="17"/>
      <c r="K1071" s="22"/>
      <c r="L1071" s="22"/>
      <c r="M1071" s="17"/>
      <c r="N1071" s="17"/>
      <c r="O1071" s="23"/>
      <c r="P1071" s="23"/>
      <c r="Q1071" s="23"/>
      <c r="R1071" s="23"/>
      <c r="S1071" s="23"/>
      <c r="T1071" s="23"/>
      <c r="U1071" s="22"/>
      <c r="V1071" s="22"/>
      <c r="W1071" s="22"/>
      <c r="X1071" s="22"/>
      <c r="Y1071" s="22"/>
      <c r="Z1071" s="22"/>
    </row>
    <row r="1072" ht="15.75" customHeight="1">
      <c r="A1072" s="22"/>
      <c r="B1072" s="22"/>
      <c r="C1072" s="22"/>
      <c r="D1072" s="22"/>
      <c r="E1072" s="22"/>
      <c r="F1072" s="22"/>
      <c r="G1072" s="22"/>
      <c r="H1072" s="22"/>
      <c r="I1072" s="22"/>
      <c r="J1072" s="17"/>
      <c r="K1072" s="22"/>
      <c r="L1072" s="22"/>
      <c r="M1072" s="17"/>
      <c r="N1072" s="17"/>
      <c r="O1072" s="23"/>
      <c r="P1072" s="23"/>
      <c r="Q1072" s="23"/>
      <c r="R1072" s="23"/>
      <c r="S1072" s="23"/>
      <c r="T1072" s="23"/>
      <c r="U1072" s="22"/>
      <c r="V1072" s="22"/>
      <c r="W1072" s="22"/>
      <c r="X1072" s="22"/>
      <c r="Y1072" s="22"/>
      <c r="Z1072" s="22"/>
    </row>
    <row r="1073" ht="15.75" customHeight="1">
      <c r="A1073" s="22"/>
      <c r="B1073" s="22"/>
      <c r="C1073" s="22"/>
      <c r="D1073" s="22"/>
      <c r="E1073" s="22"/>
      <c r="F1073" s="22"/>
      <c r="G1073" s="22"/>
      <c r="H1073" s="22"/>
      <c r="I1073" s="22"/>
      <c r="J1073" s="17"/>
      <c r="K1073" s="22"/>
      <c r="L1073" s="22"/>
      <c r="M1073" s="17"/>
      <c r="N1073" s="17"/>
      <c r="O1073" s="23"/>
      <c r="P1073" s="23"/>
      <c r="Q1073" s="23"/>
      <c r="R1073" s="23"/>
      <c r="S1073" s="23"/>
      <c r="T1073" s="23"/>
      <c r="U1073" s="22"/>
      <c r="V1073" s="22"/>
      <c r="W1073" s="22"/>
      <c r="X1073" s="22"/>
      <c r="Y1073" s="22"/>
      <c r="Z1073" s="22"/>
    </row>
    <row r="1074" ht="15.75" customHeight="1">
      <c r="A1074" s="22"/>
      <c r="B1074" s="22"/>
      <c r="C1074" s="22"/>
      <c r="D1074" s="22"/>
      <c r="E1074" s="22"/>
      <c r="F1074" s="22"/>
      <c r="G1074" s="22"/>
      <c r="H1074" s="22"/>
      <c r="I1074" s="22"/>
      <c r="J1074" s="17"/>
      <c r="K1074" s="22"/>
      <c r="L1074" s="22"/>
      <c r="M1074" s="17"/>
      <c r="N1074" s="17"/>
      <c r="O1074" s="23"/>
      <c r="P1074" s="23"/>
      <c r="Q1074" s="23"/>
      <c r="R1074" s="23"/>
      <c r="S1074" s="23"/>
      <c r="T1074" s="23"/>
      <c r="U1074" s="22"/>
      <c r="V1074" s="22"/>
      <c r="W1074" s="22"/>
      <c r="X1074" s="22"/>
      <c r="Y1074" s="22"/>
      <c r="Z1074" s="22"/>
    </row>
    <row r="1075" ht="15.75" customHeight="1">
      <c r="A1075" s="22"/>
      <c r="B1075" s="22"/>
      <c r="C1075" s="22"/>
      <c r="D1075" s="22"/>
      <c r="E1075" s="22"/>
      <c r="F1075" s="22"/>
      <c r="G1075" s="22"/>
      <c r="H1075" s="22"/>
      <c r="I1075" s="22"/>
      <c r="J1075" s="17"/>
      <c r="K1075" s="22"/>
      <c r="L1075" s="22"/>
      <c r="M1075" s="17"/>
      <c r="N1075" s="17"/>
      <c r="O1075" s="23"/>
      <c r="P1075" s="23"/>
      <c r="Q1075" s="23"/>
      <c r="R1075" s="23"/>
      <c r="S1075" s="23"/>
      <c r="T1075" s="23"/>
      <c r="U1075" s="22"/>
      <c r="V1075" s="22"/>
      <c r="W1075" s="22"/>
      <c r="X1075" s="22"/>
      <c r="Y1075" s="22"/>
      <c r="Z1075" s="22"/>
    </row>
    <row r="1076" ht="15.75" customHeight="1">
      <c r="A1076" s="22"/>
      <c r="B1076" s="22"/>
      <c r="C1076" s="22"/>
      <c r="D1076" s="22"/>
      <c r="E1076" s="22"/>
      <c r="F1076" s="22"/>
      <c r="G1076" s="22"/>
      <c r="H1076" s="22"/>
      <c r="I1076" s="22"/>
      <c r="J1076" s="17"/>
      <c r="K1076" s="22"/>
      <c r="L1076" s="22"/>
      <c r="M1076" s="17"/>
      <c r="N1076" s="17"/>
      <c r="O1076" s="23"/>
      <c r="P1076" s="23"/>
      <c r="Q1076" s="23"/>
      <c r="R1076" s="23"/>
      <c r="S1076" s="23"/>
      <c r="T1076" s="23"/>
      <c r="U1076" s="22"/>
      <c r="V1076" s="22"/>
      <c r="W1076" s="22"/>
      <c r="X1076" s="22"/>
      <c r="Y1076" s="22"/>
      <c r="Z1076" s="22"/>
    </row>
    <row r="1077" ht="15.75" customHeight="1">
      <c r="A1077" s="22"/>
      <c r="B1077" s="22"/>
      <c r="C1077" s="22"/>
      <c r="D1077" s="22"/>
      <c r="E1077" s="22"/>
      <c r="F1077" s="22"/>
      <c r="G1077" s="22"/>
      <c r="H1077" s="22"/>
      <c r="I1077" s="22"/>
      <c r="J1077" s="17"/>
      <c r="K1077" s="22"/>
      <c r="L1077" s="22"/>
      <c r="M1077" s="17"/>
      <c r="N1077" s="17"/>
      <c r="O1077" s="23"/>
      <c r="P1077" s="23"/>
      <c r="Q1077" s="23"/>
      <c r="R1077" s="23"/>
      <c r="S1077" s="23"/>
      <c r="T1077" s="23"/>
      <c r="U1077" s="22"/>
      <c r="V1077" s="22"/>
      <c r="W1077" s="22"/>
      <c r="X1077" s="22"/>
      <c r="Y1077" s="22"/>
      <c r="Z1077" s="22"/>
    </row>
    <row r="1078" ht="15.75" customHeight="1">
      <c r="A1078" s="22"/>
      <c r="B1078" s="22"/>
      <c r="C1078" s="22"/>
      <c r="D1078" s="22"/>
      <c r="E1078" s="22"/>
      <c r="F1078" s="22"/>
      <c r="G1078" s="22"/>
      <c r="H1078" s="22"/>
      <c r="I1078" s="22"/>
      <c r="J1078" s="17"/>
      <c r="K1078" s="22"/>
      <c r="L1078" s="22"/>
      <c r="M1078" s="17"/>
      <c r="N1078" s="17"/>
      <c r="O1078" s="23"/>
      <c r="P1078" s="23"/>
      <c r="Q1078" s="23"/>
      <c r="R1078" s="23"/>
      <c r="S1078" s="23"/>
      <c r="T1078" s="23"/>
      <c r="U1078" s="22"/>
      <c r="V1078" s="22"/>
      <c r="W1078" s="22"/>
      <c r="X1078" s="22"/>
      <c r="Y1078" s="22"/>
      <c r="Z1078" s="22"/>
    </row>
    <row r="1079" ht="15.75" customHeight="1">
      <c r="A1079" s="22"/>
      <c r="B1079" s="22"/>
      <c r="C1079" s="22"/>
      <c r="D1079" s="22"/>
      <c r="E1079" s="22"/>
      <c r="F1079" s="22"/>
      <c r="G1079" s="22"/>
      <c r="H1079" s="22"/>
      <c r="I1079" s="22"/>
      <c r="J1079" s="17"/>
      <c r="K1079" s="22"/>
      <c r="L1079" s="22"/>
      <c r="M1079" s="17"/>
      <c r="N1079" s="17"/>
      <c r="O1079" s="23"/>
      <c r="P1079" s="23"/>
      <c r="Q1079" s="23"/>
      <c r="R1079" s="23"/>
      <c r="S1079" s="23"/>
      <c r="T1079" s="23"/>
      <c r="U1079" s="22"/>
      <c r="V1079" s="22"/>
      <c r="W1079" s="22"/>
      <c r="X1079" s="22"/>
      <c r="Y1079" s="22"/>
      <c r="Z1079" s="22"/>
    </row>
    <row r="1080" ht="15.75" customHeight="1">
      <c r="A1080" s="22"/>
      <c r="B1080" s="22"/>
      <c r="C1080" s="22"/>
      <c r="D1080" s="22"/>
      <c r="E1080" s="22"/>
      <c r="F1080" s="22"/>
      <c r="G1080" s="22"/>
      <c r="H1080" s="22"/>
      <c r="I1080" s="22"/>
      <c r="J1080" s="17"/>
      <c r="K1080" s="22"/>
      <c r="L1080" s="22"/>
      <c r="M1080" s="17"/>
      <c r="N1080" s="17"/>
      <c r="O1080" s="23"/>
      <c r="P1080" s="23"/>
      <c r="Q1080" s="23"/>
      <c r="R1080" s="23"/>
      <c r="S1080" s="23"/>
      <c r="T1080" s="23"/>
      <c r="U1080" s="22"/>
      <c r="V1080" s="22"/>
      <c r="W1080" s="22"/>
      <c r="X1080" s="22"/>
      <c r="Y1080" s="22"/>
      <c r="Z1080" s="22"/>
    </row>
    <row r="1081" ht="15.75" customHeight="1">
      <c r="A1081" s="22"/>
      <c r="B1081" s="22"/>
      <c r="C1081" s="22"/>
      <c r="D1081" s="22"/>
      <c r="E1081" s="22"/>
      <c r="F1081" s="22"/>
      <c r="G1081" s="22"/>
      <c r="H1081" s="22"/>
      <c r="I1081" s="22"/>
      <c r="J1081" s="17"/>
      <c r="K1081" s="22"/>
      <c r="L1081" s="22"/>
      <c r="M1081" s="17"/>
      <c r="N1081" s="17"/>
      <c r="O1081" s="23"/>
      <c r="P1081" s="23"/>
      <c r="Q1081" s="23"/>
      <c r="R1081" s="23"/>
      <c r="S1081" s="23"/>
      <c r="T1081" s="23"/>
      <c r="U1081" s="22"/>
      <c r="V1081" s="22"/>
      <c r="W1081" s="22"/>
      <c r="X1081" s="22"/>
      <c r="Y1081" s="22"/>
      <c r="Z1081" s="22"/>
    </row>
    <row r="1082" ht="15.75" customHeight="1">
      <c r="A1082" s="22"/>
      <c r="B1082" s="22"/>
      <c r="C1082" s="22"/>
      <c r="D1082" s="22"/>
      <c r="E1082" s="22"/>
      <c r="F1082" s="22"/>
      <c r="G1082" s="22"/>
      <c r="H1082" s="22"/>
      <c r="I1082" s="22"/>
      <c r="J1082" s="17"/>
      <c r="K1082" s="22"/>
      <c r="L1082" s="22"/>
      <c r="M1082" s="17"/>
      <c r="N1082" s="17"/>
      <c r="O1082" s="23"/>
      <c r="P1082" s="23"/>
      <c r="Q1082" s="23"/>
      <c r="R1082" s="23"/>
      <c r="S1082" s="23"/>
      <c r="T1082" s="23"/>
      <c r="U1082" s="22"/>
      <c r="V1082" s="22"/>
      <c r="W1082" s="22"/>
      <c r="X1082" s="22"/>
      <c r="Y1082" s="22"/>
      <c r="Z1082" s="22"/>
    </row>
    <row r="1083" ht="15.75" customHeight="1">
      <c r="A1083" s="22"/>
      <c r="B1083" s="22"/>
      <c r="C1083" s="22"/>
      <c r="D1083" s="22"/>
      <c r="E1083" s="22"/>
      <c r="F1083" s="22"/>
      <c r="G1083" s="22"/>
      <c r="H1083" s="22"/>
      <c r="I1083" s="22"/>
      <c r="J1083" s="17"/>
      <c r="K1083" s="22"/>
      <c r="L1083" s="22"/>
      <c r="M1083" s="17"/>
      <c r="N1083" s="17"/>
      <c r="O1083" s="23"/>
      <c r="P1083" s="23"/>
      <c r="Q1083" s="23"/>
      <c r="R1083" s="23"/>
      <c r="S1083" s="23"/>
      <c r="T1083" s="23"/>
      <c r="U1083" s="22"/>
      <c r="V1083" s="22"/>
      <c r="W1083" s="22"/>
      <c r="X1083" s="22"/>
      <c r="Y1083" s="22"/>
      <c r="Z1083" s="22"/>
    </row>
    <row r="1084" ht="15.75" customHeight="1">
      <c r="A1084" s="22"/>
      <c r="B1084" s="22"/>
      <c r="C1084" s="22"/>
      <c r="D1084" s="22"/>
      <c r="E1084" s="22"/>
      <c r="F1084" s="22"/>
      <c r="G1084" s="22"/>
      <c r="H1084" s="22"/>
      <c r="I1084" s="22"/>
      <c r="J1084" s="17"/>
      <c r="K1084" s="22"/>
      <c r="L1084" s="22"/>
      <c r="M1084" s="17"/>
      <c r="N1084" s="17"/>
      <c r="O1084" s="23"/>
      <c r="P1084" s="23"/>
      <c r="Q1084" s="23"/>
      <c r="R1084" s="23"/>
      <c r="S1084" s="23"/>
      <c r="T1084" s="23"/>
      <c r="U1084" s="22"/>
      <c r="V1084" s="22"/>
      <c r="W1084" s="22"/>
      <c r="X1084" s="22"/>
      <c r="Y1084" s="22"/>
      <c r="Z1084" s="22"/>
    </row>
    <row r="1085" ht="15.75" customHeight="1">
      <c r="A1085" s="22"/>
      <c r="B1085" s="22"/>
      <c r="C1085" s="22"/>
      <c r="D1085" s="22"/>
      <c r="E1085" s="22"/>
      <c r="F1085" s="22"/>
      <c r="G1085" s="22"/>
      <c r="H1085" s="22"/>
      <c r="I1085" s="22"/>
      <c r="J1085" s="17"/>
      <c r="K1085" s="22"/>
      <c r="L1085" s="22"/>
      <c r="M1085" s="17"/>
      <c r="N1085" s="17"/>
      <c r="O1085" s="23"/>
      <c r="P1085" s="23"/>
      <c r="Q1085" s="23"/>
      <c r="R1085" s="23"/>
      <c r="S1085" s="23"/>
      <c r="T1085" s="23"/>
      <c r="U1085" s="22"/>
      <c r="V1085" s="22"/>
      <c r="W1085" s="22"/>
      <c r="X1085" s="22"/>
      <c r="Y1085" s="22"/>
      <c r="Z1085" s="22"/>
    </row>
    <row r="1086" ht="15.75" customHeight="1">
      <c r="A1086" s="22"/>
      <c r="B1086" s="22"/>
      <c r="C1086" s="22"/>
      <c r="D1086" s="22"/>
      <c r="E1086" s="22"/>
      <c r="F1086" s="22"/>
      <c r="G1086" s="22"/>
      <c r="H1086" s="22"/>
      <c r="I1086" s="22"/>
      <c r="J1086" s="17"/>
      <c r="K1086" s="22"/>
      <c r="L1086" s="22"/>
      <c r="M1086" s="17"/>
      <c r="N1086" s="17"/>
      <c r="O1086" s="23"/>
      <c r="P1086" s="23"/>
      <c r="Q1086" s="23"/>
      <c r="R1086" s="23"/>
      <c r="S1086" s="23"/>
      <c r="T1086" s="23"/>
      <c r="U1086" s="22"/>
      <c r="V1086" s="22"/>
      <c r="W1086" s="22"/>
      <c r="X1086" s="22"/>
      <c r="Y1086" s="22"/>
      <c r="Z1086" s="22"/>
    </row>
    <row r="1087" ht="15.75" customHeight="1">
      <c r="A1087" s="22"/>
      <c r="B1087" s="22"/>
      <c r="C1087" s="22"/>
      <c r="D1087" s="22"/>
      <c r="E1087" s="22"/>
      <c r="F1087" s="22"/>
      <c r="G1087" s="22"/>
      <c r="H1087" s="22"/>
      <c r="I1087" s="22"/>
      <c r="J1087" s="17"/>
      <c r="K1087" s="22"/>
      <c r="L1087" s="22"/>
      <c r="M1087" s="17"/>
      <c r="N1087" s="17"/>
      <c r="O1087" s="23"/>
      <c r="P1087" s="23"/>
      <c r="Q1087" s="23"/>
      <c r="R1087" s="23"/>
      <c r="S1087" s="23"/>
      <c r="T1087" s="23"/>
      <c r="U1087" s="22"/>
      <c r="V1087" s="22"/>
      <c r="W1087" s="22"/>
      <c r="X1087" s="22"/>
      <c r="Y1087" s="22"/>
      <c r="Z1087" s="22"/>
    </row>
    <row r="1088" ht="15.75" customHeight="1">
      <c r="A1088" s="22"/>
      <c r="B1088" s="22"/>
      <c r="C1088" s="22"/>
      <c r="D1088" s="22"/>
      <c r="E1088" s="22"/>
      <c r="F1088" s="22"/>
      <c r="G1088" s="22"/>
      <c r="H1088" s="22"/>
      <c r="I1088" s="22"/>
      <c r="J1088" s="17"/>
      <c r="K1088" s="22"/>
      <c r="L1088" s="22"/>
      <c r="M1088" s="17"/>
      <c r="N1088" s="17"/>
      <c r="O1088" s="23"/>
      <c r="P1088" s="23"/>
      <c r="Q1088" s="23"/>
      <c r="R1088" s="23"/>
      <c r="S1088" s="23"/>
      <c r="T1088" s="23"/>
      <c r="U1088" s="22"/>
      <c r="V1088" s="22"/>
      <c r="W1088" s="22"/>
      <c r="X1088" s="22"/>
      <c r="Y1088" s="22"/>
      <c r="Z1088" s="22"/>
    </row>
    <row r="1089" ht="15.75" customHeight="1">
      <c r="A1089" s="22"/>
      <c r="B1089" s="22"/>
      <c r="C1089" s="22"/>
      <c r="D1089" s="22"/>
      <c r="E1089" s="22"/>
      <c r="F1089" s="22"/>
      <c r="G1089" s="22"/>
      <c r="H1089" s="22"/>
      <c r="I1089" s="22"/>
      <c r="J1089" s="17"/>
      <c r="K1089" s="22"/>
      <c r="L1089" s="22"/>
      <c r="M1089" s="17"/>
      <c r="N1089" s="17"/>
      <c r="O1089" s="23"/>
      <c r="P1089" s="23"/>
      <c r="Q1089" s="23"/>
      <c r="R1089" s="23"/>
      <c r="S1089" s="23"/>
      <c r="T1089" s="23"/>
      <c r="U1089" s="22"/>
      <c r="V1089" s="22"/>
      <c r="W1089" s="22"/>
      <c r="X1089" s="22"/>
      <c r="Y1089" s="22"/>
      <c r="Z1089" s="22"/>
    </row>
    <row r="1090" ht="15.75" customHeight="1">
      <c r="A1090" s="22"/>
      <c r="B1090" s="22"/>
      <c r="C1090" s="22"/>
      <c r="D1090" s="22"/>
      <c r="E1090" s="22"/>
      <c r="F1090" s="22"/>
      <c r="G1090" s="22"/>
      <c r="H1090" s="22"/>
      <c r="I1090" s="22"/>
      <c r="J1090" s="17"/>
      <c r="K1090" s="22"/>
      <c r="L1090" s="22"/>
      <c r="M1090" s="17"/>
      <c r="N1090" s="17"/>
      <c r="O1090" s="23"/>
      <c r="P1090" s="23"/>
      <c r="Q1090" s="23"/>
      <c r="R1090" s="23"/>
      <c r="S1090" s="23"/>
      <c r="T1090" s="23"/>
      <c r="U1090" s="22"/>
      <c r="V1090" s="22"/>
      <c r="W1090" s="22"/>
      <c r="X1090" s="22"/>
      <c r="Y1090" s="22"/>
      <c r="Z1090" s="22"/>
    </row>
    <row r="1091" ht="15.75" customHeight="1">
      <c r="A1091" s="22"/>
      <c r="B1091" s="22"/>
      <c r="C1091" s="22"/>
      <c r="D1091" s="22"/>
      <c r="E1091" s="22"/>
      <c r="F1091" s="22"/>
      <c r="G1091" s="22"/>
      <c r="H1091" s="22"/>
      <c r="I1091" s="22"/>
      <c r="J1091" s="17"/>
      <c r="K1091" s="22"/>
      <c r="L1091" s="22"/>
      <c r="M1091" s="17"/>
      <c r="N1091" s="17"/>
      <c r="O1091" s="23"/>
      <c r="P1091" s="23"/>
      <c r="Q1091" s="23"/>
      <c r="R1091" s="23"/>
      <c r="S1091" s="23"/>
      <c r="T1091" s="23"/>
      <c r="U1091" s="22"/>
      <c r="V1091" s="22"/>
      <c r="W1091" s="22"/>
      <c r="X1091" s="22"/>
      <c r="Y1091" s="22"/>
      <c r="Z1091" s="22"/>
    </row>
    <row r="1092" ht="15.75" customHeight="1">
      <c r="A1092" s="22"/>
      <c r="B1092" s="22"/>
      <c r="C1092" s="22"/>
      <c r="D1092" s="22"/>
      <c r="E1092" s="22"/>
      <c r="F1092" s="22"/>
      <c r="G1092" s="22"/>
      <c r="H1092" s="22"/>
      <c r="I1092" s="22"/>
      <c r="J1092" s="17"/>
      <c r="K1092" s="22"/>
      <c r="L1092" s="22"/>
      <c r="M1092" s="17"/>
      <c r="N1092" s="17"/>
      <c r="O1092" s="23"/>
      <c r="P1092" s="23"/>
      <c r="Q1092" s="23"/>
      <c r="R1092" s="23"/>
      <c r="S1092" s="23"/>
      <c r="T1092" s="23"/>
      <c r="U1092" s="22"/>
      <c r="V1092" s="22"/>
      <c r="W1092" s="22"/>
      <c r="X1092" s="22"/>
      <c r="Y1092" s="22"/>
      <c r="Z1092" s="22"/>
    </row>
    <row r="1093" ht="15.75" customHeight="1">
      <c r="A1093" s="22"/>
      <c r="B1093" s="22"/>
      <c r="C1093" s="22"/>
      <c r="D1093" s="22"/>
      <c r="E1093" s="22"/>
      <c r="F1093" s="22"/>
      <c r="G1093" s="22"/>
      <c r="H1093" s="22"/>
      <c r="I1093" s="22"/>
      <c r="J1093" s="17"/>
      <c r="K1093" s="22"/>
      <c r="L1093" s="22"/>
      <c r="M1093" s="17"/>
      <c r="N1093" s="17"/>
      <c r="O1093" s="23"/>
      <c r="P1093" s="23"/>
      <c r="Q1093" s="23"/>
      <c r="R1093" s="23"/>
      <c r="S1093" s="23"/>
      <c r="T1093" s="23"/>
      <c r="U1093" s="22"/>
      <c r="V1093" s="22"/>
      <c r="W1093" s="22"/>
      <c r="X1093" s="22"/>
      <c r="Y1093" s="22"/>
      <c r="Z1093" s="22"/>
    </row>
    <row r="1094" ht="15.75" customHeight="1">
      <c r="A1094" s="22"/>
      <c r="B1094" s="22"/>
      <c r="C1094" s="22"/>
      <c r="D1094" s="22"/>
      <c r="E1094" s="22"/>
      <c r="F1094" s="22"/>
      <c r="G1094" s="22"/>
      <c r="H1094" s="22"/>
      <c r="I1094" s="22"/>
      <c r="J1094" s="17"/>
      <c r="K1094" s="22"/>
      <c r="L1094" s="22"/>
      <c r="M1094" s="17"/>
      <c r="N1094" s="17"/>
      <c r="O1094" s="23"/>
      <c r="P1094" s="23"/>
      <c r="Q1094" s="23"/>
      <c r="R1094" s="23"/>
      <c r="S1094" s="23"/>
      <c r="T1094" s="23"/>
      <c r="U1094" s="22"/>
      <c r="V1094" s="22"/>
      <c r="W1094" s="22"/>
      <c r="X1094" s="22"/>
      <c r="Y1094" s="22"/>
      <c r="Z1094" s="22"/>
    </row>
    <row r="1095" ht="15.75" customHeight="1">
      <c r="A1095" s="22"/>
      <c r="B1095" s="22"/>
      <c r="C1095" s="22"/>
      <c r="D1095" s="22"/>
      <c r="E1095" s="22"/>
      <c r="F1095" s="22"/>
      <c r="G1095" s="22"/>
      <c r="H1095" s="22"/>
      <c r="I1095" s="22"/>
      <c r="J1095" s="17"/>
      <c r="K1095" s="22"/>
      <c r="L1095" s="22"/>
      <c r="M1095" s="17"/>
      <c r="N1095" s="17"/>
      <c r="O1095" s="23"/>
      <c r="P1095" s="23"/>
      <c r="Q1095" s="23"/>
      <c r="R1095" s="23"/>
      <c r="S1095" s="23"/>
      <c r="T1095" s="23"/>
      <c r="U1095" s="22"/>
      <c r="V1095" s="22"/>
      <c r="W1095" s="22"/>
      <c r="X1095" s="22"/>
      <c r="Y1095" s="22"/>
      <c r="Z1095" s="22"/>
    </row>
    <row r="1096" ht="15.75" customHeight="1">
      <c r="A1096" s="22"/>
      <c r="B1096" s="22"/>
      <c r="C1096" s="22"/>
      <c r="D1096" s="22"/>
      <c r="E1096" s="22"/>
      <c r="F1096" s="22"/>
      <c r="G1096" s="22"/>
      <c r="H1096" s="22"/>
      <c r="I1096" s="22"/>
      <c r="J1096" s="17"/>
      <c r="K1096" s="22"/>
      <c r="L1096" s="22"/>
      <c r="M1096" s="17"/>
      <c r="N1096" s="17"/>
      <c r="O1096" s="23"/>
      <c r="P1096" s="23"/>
      <c r="Q1096" s="23"/>
      <c r="R1096" s="23"/>
      <c r="S1096" s="23"/>
      <c r="T1096" s="23"/>
      <c r="U1096" s="22"/>
      <c r="V1096" s="22"/>
      <c r="W1096" s="22"/>
      <c r="X1096" s="22"/>
      <c r="Y1096" s="22"/>
      <c r="Z1096" s="22"/>
    </row>
    <row r="1097" ht="15.75" customHeight="1">
      <c r="A1097" s="22"/>
      <c r="B1097" s="22"/>
      <c r="C1097" s="22"/>
      <c r="D1097" s="22"/>
      <c r="E1097" s="22"/>
      <c r="F1097" s="22"/>
      <c r="G1097" s="22"/>
      <c r="H1097" s="22"/>
      <c r="I1097" s="22"/>
      <c r="J1097" s="17"/>
      <c r="K1097" s="22"/>
      <c r="L1097" s="22"/>
      <c r="M1097" s="17"/>
      <c r="N1097" s="17"/>
      <c r="O1097" s="23"/>
      <c r="P1097" s="23"/>
      <c r="Q1097" s="23"/>
      <c r="R1097" s="23"/>
      <c r="S1097" s="23"/>
      <c r="T1097" s="23"/>
      <c r="U1097" s="22"/>
      <c r="V1097" s="22"/>
      <c r="W1097" s="22"/>
      <c r="X1097" s="22"/>
      <c r="Y1097" s="22"/>
      <c r="Z1097" s="22"/>
    </row>
    <row r="1098" ht="15.75" customHeight="1">
      <c r="A1098" s="22"/>
      <c r="B1098" s="22"/>
      <c r="C1098" s="22"/>
      <c r="D1098" s="22"/>
      <c r="E1098" s="22"/>
      <c r="F1098" s="22"/>
      <c r="G1098" s="22"/>
      <c r="H1098" s="22"/>
      <c r="I1098" s="22"/>
      <c r="J1098" s="17"/>
      <c r="K1098" s="22"/>
      <c r="L1098" s="22"/>
      <c r="M1098" s="17"/>
      <c r="N1098" s="17"/>
      <c r="O1098" s="23"/>
      <c r="P1098" s="23"/>
      <c r="Q1098" s="23"/>
      <c r="R1098" s="23"/>
      <c r="S1098" s="23"/>
      <c r="T1098" s="23"/>
      <c r="U1098" s="22"/>
      <c r="V1098" s="22"/>
      <c r="W1098" s="22"/>
      <c r="X1098" s="22"/>
      <c r="Y1098" s="22"/>
      <c r="Z1098" s="22"/>
    </row>
    <row r="1099" ht="15.75" customHeight="1">
      <c r="A1099" s="22"/>
      <c r="B1099" s="22"/>
      <c r="C1099" s="22"/>
      <c r="D1099" s="22"/>
      <c r="E1099" s="22"/>
      <c r="F1099" s="22"/>
      <c r="G1099" s="22"/>
      <c r="H1099" s="22"/>
      <c r="I1099" s="22"/>
      <c r="J1099" s="17"/>
      <c r="K1099" s="22"/>
      <c r="L1099" s="22"/>
      <c r="M1099" s="17"/>
      <c r="N1099" s="17"/>
      <c r="O1099" s="23"/>
      <c r="P1099" s="23"/>
      <c r="Q1099" s="23"/>
      <c r="R1099" s="23"/>
      <c r="S1099" s="23"/>
      <c r="T1099" s="23"/>
      <c r="U1099" s="22"/>
      <c r="V1099" s="22"/>
      <c r="W1099" s="22"/>
      <c r="X1099" s="22"/>
      <c r="Y1099" s="22"/>
      <c r="Z1099" s="22"/>
    </row>
    <row r="1100" ht="15.75" customHeight="1">
      <c r="A1100" s="22"/>
      <c r="B1100" s="22"/>
      <c r="C1100" s="22"/>
      <c r="D1100" s="22"/>
      <c r="E1100" s="22"/>
      <c r="F1100" s="22"/>
      <c r="G1100" s="22"/>
      <c r="H1100" s="22"/>
      <c r="I1100" s="22"/>
      <c r="J1100" s="17"/>
      <c r="K1100" s="22"/>
      <c r="L1100" s="22"/>
      <c r="M1100" s="17"/>
      <c r="N1100" s="17"/>
      <c r="O1100" s="23"/>
      <c r="P1100" s="23"/>
      <c r="Q1100" s="23"/>
      <c r="R1100" s="23"/>
      <c r="S1100" s="23"/>
      <c r="T1100" s="23"/>
      <c r="U1100" s="22"/>
      <c r="V1100" s="22"/>
      <c r="W1100" s="22"/>
      <c r="X1100" s="22"/>
      <c r="Y1100" s="22"/>
      <c r="Z1100" s="22"/>
    </row>
    <row r="1101" ht="15.75" customHeight="1">
      <c r="A1101" s="22"/>
      <c r="B1101" s="22"/>
      <c r="C1101" s="22"/>
      <c r="D1101" s="22"/>
      <c r="E1101" s="22"/>
      <c r="F1101" s="22"/>
      <c r="G1101" s="22"/>
      <c r="H1101" s="22"/>
      <c r="I1101" s="22"/>
      <c r="J1101" s="17"/>
      <c r="K1101" s="22"/>
      <c r="L1101" s="22"/>
      <c r="M1101" s="17"/>
      <c r="N1101" s="17"/>
      <c r="O1101" s="23"/>
      <c r="P1101" s="23"/>
      <c r="Q1101" s="23"/>
      <c r="R1101" s="23"/>
      <c r="S1101" s="23"/>
      <c r="T1101" s="23"/>
      <c r="U1101" s="22"/>
      <c r="V1101" s="22"/>
      <c r="W1101" s="22"/>
      <c r="X1101" s="22"/>
      <c r="Y1101" s="22"/>
      <c r="Z1101" s="22"/>
    </row>
    <row r="1102" ht="15.75" customHeight="1">
      <c r="A1102" s="22"/>
      <c r="B1102" s="22"/>
      <c r="C1102" s="22"/>
      <c r="D1102" s="22"/>
      <c r="E1102" s="22"/>
      <c r="F1102" s="22"/>
      <c r="G1102" s="22"/>
      <c r="H1102" s="22"/>
      <c r="I1102" s="22"/>
      <c r="J1102" s="17"/>
      <c r="K1102" s="22"/>
      <c r="L1102" s="22"/>
      <c r="M1102" s="17"/>
      <c r="N1102" s="17"/>
      <c r="O1102" s="23"/>
      <c r="P1102" s="23"/>
      <c r="Q1102" s="23"/>
      <c r="R1102" s="23"/>
      <c r="S1102" s="23"/>
      <c r="T1102" s="23"/>
      <c r="U1102" s="22"/>
      <c r="V1102" s="22"/>
      <c r="W1102" s="22"/>
      <c r="X1102" s="22"/>
      <c r="Y1102" s="22"/>
      <c r="Z1102" s="22"/>
    </row>
    <row r="1103" ht="15.75" customHeight="1">
      <c r="A1103" s="22"/>
      <c r="B1103" s="22"/>
      <c r="C1103" s="22"/>
      <c r="D1103" s="22"/>
      <c r="E1103" s="22"/>
      <c r="F1103" s="22"/>
      <c r="G1103" s="22"/>
      <c r="H1103" s="22"/>
      <c r="I1103" s="22"/>
      <c r="J1103" s="17"/>
      <c r="K1103" s="22"/>
      <c r="L1103" s="22"/>
      <c r="M1103" s="17"/>
      <c r="N1103" s="17"/>
      <c r="O1103" s="23"/>
      <c r="P1103" s="23"/>
      <c r="Q1103" s="23"/>
      <c r="R1103" s="23"/>
      <c r="S1103" s="23"/>
      <c r="T1103" s="23"/>
      <c r="U1103" s="22"/>
      <c r="V1103" s="22"/>
      <c r="W1103" s="22"/>
      <c r="X1103" s="22"/>
      <c r="Y1103" s="22"/>
      <c r="Z1103" s="22"/>
    </row>
    <row r="1104" ht="15.75" customHeight="1">
      <c r="A1104" s="22"/>
      <c r="B1104" s="22"/>
      <c r="C1104" s="22"/>
      <c r="D1104" s="22"/>
      <c r="E1104" s="22"/>
      <c r="F1104" s="22"/>
      <c r="G1104" s="22"/>
      <c r="H1104" s="22"/>
      <c r="I1104" s="22"/>
      <c r="J1104" s="17"/>
      <c r="K1104" s="22"/>
      <c r="L1104" s="22"/>
      <c r="M1104" s="17"/>
      <c r="N1104" s="17"/>
      <c r="O1104" s="23"/>
      <c r="P1104" s="23"/>
      <c r="Q1104" s="23"/>
      <c r="R1104" s="23"/>
      <c r="S1104" s="23"/>
      <c r="T1104" s="23"/>
      <c r="U1104" s="22"/>
      <c r="V1104" s="22"/>
      <c r="W1104" s="22"/>
      <c r="X1104" s="22"/>
      <c r="Y1104" s="22"/>
      <c r="Z1104" s="22"/>
    </row>
    <row r="1105" ht="15.75" customHeight="1">
      <c r="A1105" s="22"/>
      <c r="B1105" s="22"/>
      <c r="C1105" s="22"/>
      <c r="D1105" s="22"/>
      <c r="E1105" s="22"/>
      <c r="F1105" s="22"/>
      <c r="G1105" s="22"/>
      <c r="H1105" s="22"/>
      <c r="I1105" s="22"/>
      <c r="J1105" s="17"/>
      <c r="K1105" s="22"/>
      <c r="L1105" s="22"/>
      <c r="M1105" s="17"/>
      <c r="N1105" s="17"/>
      <c r="O1105" s="23"/>
      <c r="P1105" s="23"/>
      <c r="Q1105" s="23"/>
      <c r="R1105" s="23"/>
      <c r="S1105" s="23"/>
      <c r="T1105" s="23"/>
      <c r="U1105" s="22"/>
      <c r="V1105" s="22"/>
      <c r="W1105" s="22"/>
      <c r="X1105" s="22"/>
      <c r="Y1105" s="22"/>
      <c r="Z1105" s="22"/>
    </row>
    <row r="1106" ht="15.75" customHeight="1">
      <c r="A1106" s="22"/>
      <c r="B1106" s="22"/>
      <c r="C1106" s="22"/>
      <c r="D1106" s="22"/>
      <c r="E1106" s="22"/>
      <c r="F1106" s="22"/>
      <c r="G1106" s="22"/>
      <c r="H1106" s="22"/>
      <c r="I1106" s="22"/>
      <c r="J1106" s="17"/>
      <c r="K1106" s="22"/>
      <c r="L1106" s="22"/>
      <c r="M1106" s="17"/>
      <c r="N1106" s="17"/>
      <c r="O1106" s="23"/>
      <c r="P1106" s="23"/>
      <c r="Q1106" s="23"/>
      <c r="R1106" s="23"/>
      <c r="S1106" s="23"/>
      <c r="T1106" s="23"/>
      <c r="U1106" s="22"/>
      <c r="V1106" s="22"/>
      <c r="W1106" s="22"/>
      <c r="X1106" s="22"/>
      <c r="Y1106" s="22"/>
      <c r="Z1106" s="22"/>
    </row>
    <row r="1107" ht="15.75" customHeight="1">
      <c r="A1107" s="22"/>
      <c r="B1107" s="22"/>
      <c r="C1107" s="22"/>
      <c r="D1107" s="22"/>
      <c r="E1107" s="22"/>
      <c r="F1107" s="22"/>
      <c r="G1107" s="22"/>
      <c r="H1107" s="22"/>
      <c r="I1107" s="22"/>
      <c r="J1107" s="17"/>
      <c r="K1107" s="22"/>
      <c r="L1107" s="22"/>
      <c r="M1107" s="17"/>
      <c r="N1107" s="17"/>
      <c r="O1107" s="23"/>
      <c r="P1107" s="23"/>
      <c r="Q1107" s="23"/>
      <c r="R1107" s="23"/>
      <c r="S1107" s="23"/>
      <c r="T1107" s="23"/>
      <c r="U1107" s="22"/>
      <c r="V1107" s="22"/>
      <c r="W1107" s="22"/>
      <c r="X1107" s="22"/>
      <c r="Y1107" s="22"/>
      <c r="Z1107" s="22"/>
    </row>
    <row r="1108" ht="15.75" customHeight="1">
      <c r="A1108" s="22"/>
      <c r="B1108" s="22"/>
      <c r="C1108" s="22"/>
      <c r="D1108" s="22"/>
      <c r="E1108" s="22"/>
      <c r="F1108" s="22"/>
      <c r="G1108" s="22"/>
      <c r="H1108" s="22"/>
      <c r="I1108" s="22"/>
      <c r="J1108" s="17"/>
      <c r="K1108" s="22"/>
      <c r="L1108" s="22"/>
      <c r="M1108" s="17"/>
      <c r="N1108" s="17"/>
      <c r="O1108" s="23"/>
      <c r="P1108" s="23"/>
      <c r="Q1108" s="23"/>
      <c r="R1108" s="23"/>
      <c r="S1108" s="23"/>
      <c r="T1108" s="23"/>
      <c r="U1108" s="22"/>
      <c r="V1108" s="22"/>
      <c r="W1108" s="22"/>
      <c r="X1108" s="22"/>
      <c r="Y1108" s="22"/>
      <c r="Z1108" s="22"/>
    </row>
    <row r="1109" ht="15.75" customHeight="1">
      <c r="A1109" s="22"/>
      <c r="B1109" s="22"/>
      <c r="C1109" s="22"/>
      <c r="D1109" s="22"/>
      <c r="E1109" s="22"/>
      <c r="F1109" s="22"/>
      <c r="G1109" s="22"/>
      <c r="H1109" s="22"/>
      <c r="I1109" s="22"/>
      <c r="J1109" s="17"/>
      <c r="K1109" s="22"/>
      <c r="L1109" s="22"/>
      <c r="M1109" s="17"/>
      <c r="N1109" s="17"/>
      <c r="O1109" s="23"/>
      <c r="P1109" s="23"/>
      <c r="Q1109" s="23"/>
      <c r="R1109" s="23"/>
      <c r="S1109" s="23"/>
      <c r="T1109" s="23"/>
      <c r="U1109" s="22"/>
      <c r="V1109" s="22"/>
      <c r="W1109" s="22"/>
      <c r="X1109" s="22"/>
      <c r="Y1109" s="22"/>
      <c r="Z1109" s="22"/>
    </row>
    <row r="1110" ht="15.75" customHeight="1">
      <c r="A1110" s="22"/>
      <c r="B1110" s="22"/>
      <c r="C1110" s="22"/>
      <c r="D1110" s="22"/>
      <c r="E1110" s="22"/>
      <c r="F1110" s="22"/>
      <c r="G1110" s="22"/>
      <c r="H1110" s="22"/>
      <c r="I1110" s="22"/>
      <c r="J1110" s="17"/>
      <c r="K1110" s="22"/>
      <c r="L1110" s="22"/>
      <c r="M1110" s="17"/>
      <c r="N1110" s="17"/>
      <c r="O1110" s="23"/>
      <c r="P1110" s="23"/>
      <c r="Q1110" s="23"/>
      <c r="R1110" s="23"/>
      <c r="S1110" s="23"/>
      <c r="T1110" s="23"/>
      <c r="U1110" s="22"/>
      <c r="V1110" s="22"/>
      <c r="W1110" s="22"/>
      <c r="X1110" s="22"/>
      <c r="Y1110" s="22"/>
      <c r="Z1110" s="22"/>
    </row>
    <row r="1111" ht="15.75" customHeight="1">
      <c r="A1111" s="22"/>
      <c r="B1111" s="22"/>
      <c r="C1111" s="22"/>
      <c r="D1111" s="22"/>
      <c r="E1111" s="22"/>
      <c r="F1111" s="22"/>
      <c r="G1111" s="22"/>
      <c r="H1111" s="22"/>
      <c r="I1111" s="22"/>
      <c r="J1111" s="17"/>
      <c r="K1111" s="22"/>
      <c r="L1111" s="22"/>
      <c r="M1111" s="17"/>
      <c r="N1111" s="17"/>
      <c r="O1111" s="23"/>
      <c r="P1111" s="23"/>
      <c r="Q1111" s="23"/>
      <c r="R1111" s="23"/>
      <c r="S1111" s="23"/>
      <c r="T1111" s="23"/>
      <c r="U1111" s="22"/>
      <c r="V1111" s="22"/>
      <c r="W1111" s="22"/>
      <c r="X1111" s="22"/>
      <c r="Y1111" s="22"/>
      <c r="Z1111" s="22"/>
    </row>
    <row r="1112" ht="15.75" customHeight="1">
      <c r="A1112" s="22"/>
      <c r="B1112" s="22"/>
      <c r="C1112" s="22"/>
      <c r="D1112" s="22"/>
      <c r="E1112" s="22"/>
      <c r="F1112" s="22"/>
      <c r="G1112" s="22"/>
      <c r="H1112" s="22"/>
      <c r="I1112" s="22"/>
      <c r="J1112" s="17"/>
      <c r="K1112" s="22"/>
      <c r="L1112" s="22"/>
      <c r="M1112" s="17"/>
      <c r="N1112" s="17"/>
      <c r="O1112" s="23"/>
      <c r="P1112" s="23"/>
      <c r="Q1112" s="23"/>
      <c r="R1112" s="23"/>
      <c r="S1112" s="23"/>
      <c r="T1112" s="23"/>
      <c r="U1112" s="22"/>
      <c r="V1112" s="22"/>
      <c r="W1112" s="22"/>
      <c r="X1112" s="22"/>
      <c r="Y1112" s="22"/>
      <c r="Z1112" s="22"/>
    </row>
    <row r="1113" ht="15.75" customHeight="1">
      <c r="A1113" s="22"/>
      <c r="B1113" s="22"/>
      <c r="C1113" s="22"/>
      <c r="D1113" s="22"/>
      <c r="E1113" s="22"/>
      <c r="F1113" s="22"/>
      <c r="G1113" s="22"/>
      <c r="H1113" s="22"/>
      <c r="I1113" s="22"/>
      <c r="J1113" s="17"/>
      <c r="K1113" s="22"/>
      <c r="L1113" s="22"/>
      <c r="M1113" s="17"/>
      <c r="N1113" s="17"/>
      <c r="O1113" s="23"/>
      <c r="P1113" s="23"/>
      <c r="Q1113" s="23"/>
      <c r="R1113" s="23"/>
      <c r="S1113" s="23"/>
      <c r="T1113" s="23"/>
      <c r="U1113" s="22"/>
      <c r="V1113" s="22"/>
      <c r="W1113" s="22"/>
      <c r="X1113" s="22"/>
      <c r="Y1113" s="22"/>
      <c r="Z1113" s="22"/>
    </row>
    <row r="1114" ht="15.75" customHeight="1">
      <c r="A1114" s="22"/>
      <c r="B1114" s="22"/>
      <c r="C1114" s="22"/>
      <c r="D1114" s="22"/>
      <c r="E1114" s="22"/>
      <c r="F1114" s="22"/>
      <c r="G1114" s="22"/>
      <c r="H1114" s="22"/>
      <c r="I1114" s="22"/>
      <c r="J1114" s="17"/>
      <c r="K1114" s="22"/>
      <c r="L1114" s="22"/>
      <c r="M1114" s="17"/>
      <c r="N1114" s="17"/>
      <c r="O1114" s="23"/>
      <c r="P1114" s="23"/>
      <c r="Q1114" s="23"/>
      <c r="R1114" s="23"/>
      <c r="S1114" s="23"/>
      <c r="T1114" s="23"/>
      <c r="U1114" s="22"/>
      <c r="V1114" s="22"/>
      <c r="W1114" s="22"/>
      <c r="X1114" s="22"/>
      <c r="Y1114" s="22"/>
      <c r="Z1114" s="22"/>
    </row>
    <row r="1115" ht="15.75" customHeight="1">
      <c r="A1115" s="22"/>
      <c r="B1115" s="22"/>
      <c r="C1115" s="22"/>
      <c r="D1115" s="22"/>
      <c r="E1115" s="22"/>
      <c r="F1115" s="22"/>
      <c r="G1115" s="22"/>
      <c r="H1115" s="22"/>
      <c r="I1115" s="22"/>
      <c r="J1115" s="17"/>
      <c r="K1115" s="22"/>
      <c r="L1115" s="22"/>
      <c r="M1115" s="17"/>
      <c r="N1115" s="17"/>
      <c r="O1115" s="23"/>
      <c r="P1115" s="23"/>
      <c r="Q1115" s="23"/>
      <c r="R1115" s="23"/>
      <c r="S1115" s="23"/>
      <c r="T1115" s="23"/>
      <c r="U1115" s="22"/>
      <c r="V1115" s="22"/>
      <c r="W1115" s="22"/>
      <c r="X1115" s="22"/>
      <c r="Y1115" s="22"/>
      <c r="Z1115" s="22"/>
    </row>
    <row r="1116" ht="15.75" customHeight="1">
      <c r="A1116" s="22"/>
      <c r="B1116" s="22"/>
      <c r="C1116" s="22"/>
      <c r="D1116" s="22"/>
      <c r="E1116" s="22"/>
      <c r="F1116" s="22"/>
      <c r="G1116" s="22"/>
      <c r="H1116" s="22"/>
      <c r="I1116" s="22"/>
      <c r="J1116" s="17"/>
      <c r="K1116" s="22"/>
      <c r="L1116" s="22"/>
      <c r="M1116" s="17"/>
      <c r="N1116" s="17"/>
      <c r="O1116" s="23"/>
      <c r="P1116" s="23"/>
      <c r="Q1116" s="23"/>
      <c r="R1116" s="23"/>
      <c r="S1116" s="23"/>
      <c r="T1116" s="23"/>
      <c r="U1116" s="22"/>
      <c r="V1116" s="22"/>
      <c r="W1116" s="22"/>
      <c r="X1116" s="22"/>
      <c r="Y1116" s="22"/>
      <c r="Z1116" s="22"/>
    </row>
    <row r="1117" ht="15.75" customHeight="1">
      <c r="A1117" s="22"/>
      <c r="B1117" s="22"/>
      <c r="C1117" s="22"/>
      <c r="D1117" s="22"/>
      <c r="E1117" s="22"/>
      <c r="F1117" s="22"/>
      <c r="G1117" s="22"/>
      <c r="H1117" s="22"/>
      <c r="I1117" s="22"/>
      <c r="J1117" s="17"/>
      <c r="K1117" s="22"/>
      <c r="L1117" s="22"/>
      <c r="M1117" s="17"/>
      <c r="N1117" s="17"/>
      <c r="O1117" s="23"/>
      <c r="P1117" s="23"/>
      <c r="Q1117" s="23"/>
      <c r="R1117" s="23"/>
      <c r="S1117" s="23"/>
      <c r="T1117" s="23"/>
      <c r="U1117" s="22"/>
      <c r="V1117" s="22"/>
      <c r="W1117" s="22"/>
      <c r="X1117" s="22"/>
      <c r="Y1117" s="22"/>
      <c r="Z1117" s="22"/>
    </row>
    <row r="1118" ht="15.75" customHeight="1">
      <c r="A1118" s="22"/>
      <c r="B1118" s="22"/>
      <c r="C1118" s="22"/>
      <c r="D1118" s="22"/>
      <c r="E1118" s="22"/>
      <c r="F1118" s="22"/>
      <c r="G1118" s="22"/>
      <c r="H1118" s="22"/>
      <c r="I1118" s="22"/>
      <c r="J1118" s="17"/>
      <c r="K1118" s="22"/>
      <c r="L1118" s="22"/>
      <c r="M1118" s="17"/>
      <c r="N1118" s="17"/>
      <c r="O1118" s="23"/>
      <c r="P1118" s="23"/>
      <c r="Q1118" s="23"/>
      <c r="R1118" s="23"/>
      <c r="S1118" s="23"/>
      <c r="T1118" s="23"/>
      <c r="U1118" s="22"/>
      <c r="V1118" s="22"/>
      <c r="W1118" s="22"/>
      <c r="X1118" s="22"/>
      <c r="Y1118" s="22"/>
      <c r="Z1118" s="22"/>
    </row>
    <row r="1119" ht="15.75" customHeight="1">
      <c r="A1119" s="22"/>
      <c r="B1119" s="22"/>
      <c r="C1119" s="22"/>
      <c r="D1119" s="22"/>
      <c r="E1119" s="22"/>
      <c r="F1119" s="22"/>
      <c r="G1119" s="22"/>
      <c r="H1119" s="22"/>
      <c r="I1119" s="22"/>
      <c r="J1119" s="17"/>
      <c r="K1119" s="22"/>
      <c r="L1119" s="22"/>
      <c r="M1119" s="17"/>
      <c r="N1119" s="17"/>
      <c r="O1119" s="23"/>
      <c r="P1119" s="23"/>
      <c r="Q1119" s="23"/>
      <c r="R1119" s="23"/>
      <c r="S1119" s="23"/>
      <c r="T1119" s="23"/>
      <c r="U1119" s="22"/>
      <c r="V1119" s="22"/>
      <c r="W1119" s="22"/>
      <c r="X1119" s="22"/>
      <c r="Y1119" s="22"/>
      <c r="Z1119" s="22"/>
    </row>
    <row r="1120" ht="15.75" customHeight="1">
      <c r="A1120" s="22"/>
      <c r="B1120" s="22"/>
      <c r="C1120" s="22"/>
      <c r="D1120" s="22"/>
      <c r="E1120" s="22"/>
      <c r="F1120" s="22"/>
      <c r="G1120" s="22"/>
      <c r="H1120" s="22"/>
      <c r="I1120" s="22"/>
      <c r="J1120" s="17"/>
      <c r="K1120" s="22"/>
      <c r="L1120" s="22"/>
      <c r="M1120" s="17"/>
      <c r="N1120" s="17"/>
      <c r="O1120" s="23"/>
      <c r="P1120" s="23"/>
      <c r="Q1120" s="23"/>
      <c r="R1120" s="23"/>
      <c r="S1120" s="23"/>
      <c r="T1120" s="23"/>
      <c r="U1120" s="22"/>
      <c r="V1120" s="22"/>
      <c r="W1120" s="22"/>
      <c r="X1120" s="22"/>
      <c r="Y1120" s="22"/>
      <c r="Z1120" s="22"/>
    </row>
    <row r="1121" ht="15.75" customHeight="1">
      <c r="A1121" s="22"/>
      <c r="B1121" s="22"/>
      <c r="C1121" s="22"/>
      <c r="D1121" s="22"/>
      <c r="E1121" s="22"/>
      <c r="F1121" s="22"/>
      <c r="G1121" s="22"/>
      <c r="H1121" s="22"/>
      <c r="I1121" s="22"/>
      <c r="J1121" s="17"/>
      <c r="K1121" s="22"/>
      <c r="L1121" s="22"/>
      <c r="M1121" s="17"/>
      <c r="N1121" s="17"/>
      <c r="O1121" s="23"/>
      <c r="P1121" s="23"/>
      <c r="Q1121" s="23"/>
      <c r="R1121" s="23"/>
      <c r="S1121" s="23"/>
      <c r="T1121" s="23"/>
      <c r="U1121" s="22"/>
      <c r="V1121" s="22"/>
      <c r="W1121" s="22"/>
      <c r="X1121" s="22"/>
      <c r="Y1121" s="22"/>
      <c r="Z1121" s="22"/>
    </row>
    <row r="1122" ht="15.75" customHeight="1">
      <c r="A1122" s="22"/>
      <c r="B1122" s="22"/>
      <c r="C1122" s="22"/>
      <c r="D1122" s="22"/>
      <c r="E1122" s="22"/>
      <c r="F1122" s="22"/>
      <c r="G1122" s="22"/>
      <c r="H1122" s="22"/>
      <c r="I1122" s="22"/>
      <c r="J1122" s="17"/>
      <c r="K1122" s="22"/>
      <c r="L1122" s="22"/>
      <c r="M1122" s="17"/>
      <c r="N1122" s="17"/>
      <c r="O1122" s="23"/>
      <c r="P1122" s="23"/>
      <c r="Q1122" s="23"/>
      <c r="R1122" s="23"/>
      <c r="S1122" s="23"/>
      <c r="T1122" s="23"/>
      <c r="U1122" s="22"/>
      <c r="V1122" s="22"/>
      <c r="W1122" s="22"/>
      <c r="X1122" s="22"/>
      <c r="Y1122" s="22"/>
      <c r="Z1122" s="22"/>
    </row>
    <row r="1123" ht="15.75" customHeight="1">
      <c r="A1123" s="22"/>
      <c r="B1123" s="22"/>
      <c r="C1123" s="22"/>
      <c r="D1123" s="22"/>
      <c r="E1123" s="22"/>
      <c r="F1123" s="22"/>
      <c r="G1123" s="22"/>
      <c r="H1123" s="22"/>
      <c r="I1123" s="22"/>
      <c r="J1123" s="17"/>
      <c r="K1123" s="22"/>
      <c r="L1123" s="22"/>
      <c r="M1123" s="17"/>
      <c r="N1123" s="17"/>
      <c r="O1123" s="23"/>
      <c r="P1123" s="23"/>
      <c r="Q1123" s="23"/>
      <c r="R1123" s="23"/>
      <c r="S1123" s="23"/>
      <c r="T1123" s="23"/>
      <c r="U1123" s="22"/>
      <c r="V1123" s="22"/>
      <c r="W1123" s="22"/>
      <c r="X1123" s="22"/>
      <c r="Y1123" s="22"/>
      <c r="Z1123" s="22"/>
    </row>
    <row r="1124" ht="15.75" customHeight="1">
      <c r="A1124" s="22"/>
      <c r="B1124" s="22"/>
      <c r="C1124" s="22"/>
      <c r="D1124" s="22"/>
      <c r="E1124" s="22"/>
      <c r="F1124" s="22"/>
      <c r="G1124" s="22"/>
      <c r="H1124" s="22"/>
      <c r="I1124" s="22"/>
      <c r="J1124" s="17"/>
      <c r="K1124" s="22"/>
      <c r="L1124" s="22"/>
      <c r="M1124" s="17"/>
      <c r="N1124" s="17"/>
      <c r="O1124" s="23"/>
      <c r="P1124" s="23"/>
      <c r="Q1124" s="23"/>
      <c r="R1124" s="23"/>
      <c r="S1124" s="23"/>
      <c r="T1124" s="23"/>
      <c r="U1124" s="22"/>
      <c r="V1124" s="22"/>
      <c r="W1124" s="22"/>
      <c r="X1124" s="22"/>
      <c r="Y1124" s="22"/>
      <c r="Z1124" s="22"/>
    </row>
    <row r="1125" ht="15.75" customHeight="1">
      <c r="A1125" s="22"/>
      <c r="B1125" s="22"/>
      <c r="C1125" s="22"/>
      <c r="D1125" s="22"/>
      <c r="E1125" s="22"/>
      <c r="F1125" s="22"/>
      <c r="G1125" s="22"/>
      <c r="H1125" s="22"/>
      <c r="I1125" s="22"/>
      <c r="J1125" s="17"/>
      <c r="K1125" s="22"/>
      <c r="L1125" s="22"/>
      <c r="M1125" s="17"/>
      <c r="N1125" s="17"/>
      <c r="O1125" s="23"/>
      <c r="P1125" s="23"/>
      <c r="Q1125" s="23"/>
      <c r="R1125" s="23"/>
      <c r="S1125" s="23"/>
      <c r="T1125" s="23"/>
      <c r="U1125" s="22"/>
      <c r="V1125" s="22"/>
      <c r="W1125" s="22"/>
      <c r="X1125" s="22"/>
      <c r="Y1125" s="22"/>
      <c r="Z1125" s="22"/>
    </row>
    <row r="1126" ht="15.75" customHeight="1">
      <c r="A1126" s="22"/>
      <c r="B1126" s="22"/>
      <c r="C1126" s="22"/>
      <c r="D1126" s="22"/>
      <c r="E1126" s="22"/>
      <c r="F1126" s="22"/>
      <c r="G1126" s="22"/>
      <c r="H1126" s="22"/>
      <c r="I1126" s="22"/>
      <c r="J1126" s="17"/>
      <c r="K1126" s="22"/>
      <c r="L1126" s="22"/>
      <c r="M1126" s="17"/>
      <c r="N1126" s="17"/>
      <c r="O1126" s="23"/>
      <c r="P1126" s="23"/>
      <c r="Q1126" s="23"/>
      <c r="R1126" s="23"/>
      <c r="S1126" s="23"/>
      <c r="T1126" s="23"/>
      <c r="U1126" s="22"/>
      <c r="V1126" s="22"/>
      <c r="W1126" s="22"/>
      <c r="X1126" s="22"/>
      <c r="Y1126" s="22"/>
      <c r="Z1126" s="22"/>
    </row>
    <row r="1127" ht="15.75" customHeight="1">
      <c r="A1127" s="22"/>
      <c r="B1127" s="22"/>
      <c r="C1127" s="22"/>
      <c r="D1127" s="22"/>
      <c r="E1127" s="22"/>
      <c r="F1127" s="22"/>
      <c r="G1127" s="22"/>
      <c r="H1127" s="22"/>
      <c r="I1127" s="22"/>
      <c r="J1127" s="17"/>
      <c r="K1127" s="22"/>
      <c r="L1127" s="22"/>
      <c r="M1127" s="17"/>
      <c r="N1127" s="17"/>
      <c r="O1127" s="23"/>
      <c r="P1127" s="23"/>
      <c r="Q1127" s="23"/>
      <c r="R1127" s="23"/>
      <c r="S1127" s="23"/>
      <c r="T1127" s="23"/>
      <c r="U1127" s="22"/>
      <c r="V1127" s="22"/>
      <c r="W1127" s="22"/>
      <c r="X1127" s="22"/>
      <c r="Y1127" s="22"/>
      <c r="Z1127" s="22"/>
    </row>
    <row r="1128" ht="15.75" customHeight="1">
      <c r="A1128" s="22"/>
      <c r="B1128" s="22"/>
      <c r="C1128" s="22"/>
      <c r="D1128" s="22"/>
      <c r="E1128" s="22"/>
      <c r="F1128" s="22"/>
      <c r="G1128" s="22"/>
      <c r="H1128" s="22"/>
      <c r="I1128" s="22"/>
      <c r="J1128" s="17"/>
      <c r="K1128" s="22"/>
      <c r="L1128" s="22"/>
      <c r="M1128" s="17"/>
      <c r="N1128" s="17"/>
      <c r="O1128" s="23"/>
      <c r="P1128" s="23"/>
      <c r="Q1128" s="23"/>
      <c r="R1128" s="23"/>
      <c r="S1128" s="23"/>
      <c r="T1128" s="23"/>
      <c r="U1128" s="22"/>
      <c r="V1128" s="22"/>
      <c r="W1128" s="22"/>
      <c r="X1128" s="22"/>
      <c r="Y1128" s="22"/>
      <c r="Z1128" s="22"/>
    </row>
    <row r="1129" ht="15.75" customHeight="1">
      <c r="A1129" s="22"/>
      <c r="B1129" s="22"/>
      <c r="C1129" s="22"/>
      <c r="D1129" s="22"/>
      <c r="E1129" s="22"/>
      <c r="F1129" s="22"/>
      <c r="G1129" s="22"/>
      <c r="H1129" s="22"/>
      <c r="I1129" s="22"/>
      <c r="J1129" s="17"/>
      <c r="K1129" s="22"/>
      <c r="L1129" s="22"/>
      <c r="M1129" s="17"/>
      <c r="N1129" s="17"/>
      <c r="O1129" s="23"/>
      <c r="P1129" s="23"/>
      <c r="Q1129" s="23"/>
      <c r="R1129" s="23"/>
      <c r="S1129" s="23"/>
      <c r="T1129" s="23"/>
      <c r="U1129" s="22"/>
      <c r="V1129" s="22"/>
      <c r="W1129" s="22"/>
      <c r="X1129" s="22"/>
      <c r="Y1129" s="22"/>
      <c r="Z1129" s="22"/>
    </row>
    <row r="1130" ht="15.75" customHeight="1">
      <c r="A1130" s="22"/>
      <c r="B1130" s="22"/>
      <c r="C1130" s="22"/>
      <c r="D1130" s="22"/>
      <c r="E1130" s="22"/>
      <c r="F1130" s="22"/>
      <c r="G1130" s="22"/>
      <c r="H1130" s="22"/>
      <c r="I1130" s="22"/>
      <c r="J1130" s="17"/>
      <c r="K1130" s="22"/>
      <c r="L1130" s="22"/>
      <c r="M1130" s="17"/>
      <c r="N1130" s="17"/>
      <c r="O1130" s="23"/>
      <c r="P1130" s="23"/>
      <c r="Q1130" s="23"/>
      <c r="R1130" s="23"/>
      <c r="S1130" s="23"/>
      <c r="T1130" s="23"/>
      <c r="U1130" s="22"/>
      <c r="V1130" s="22"/>
      <c r="W1130" s="22"/>
      <c r="X1130" s="22"/>
      <c r="Y1130" s="22"/>
      <c r="Z1130" s="22"/>
    </row>
    <row r="1131" ht="15.75" customHeight="1">
      <c r="A1131" s="22"/>
      <c r="B1131" s="22"/>
      <c r="C1131" s="22"/>
      <c r="D1131" s="22"/>
      <c r="E1131" s="22"/>
      <c r="F1131" s="22"/>
      <c r="G1131" s="22"/>
      <c r="H1131" s="22"/>
      <c r="I1131" s="22"/>
      <c r="J1131" s="17"/>
      <c r="K1131" s="22"/>
      <c r="L1131" s="22"/>
      <c r="M1131" s="17"/>
      <c r="N1131" s="17"/>
      <c r="O1131" s="23"/>
      <c r="P1131" s="23"/>
      <c r="Q1131" s="23"/>
      <c r="R1131" s="23"/>
      <c r="S1131" s="23"/>
      <c r="T1131" s="23"/>
      <c r="U1131" s="22"/>
      <c r="V1131" s="22"/>
      <c r="W1131" s="22"/>
      <c r="X1131" s="22"/>
      <c r="Y1131" s="22"/>
      <c r="Z1131" s="22"/>
    </row>
    <row r="1132" ht="15.75" customHeight="1">
      <c r="A1132" s="22"/>
      <c r="B1132" s="22"/>
      <c r="C1132" s="22"/>
      <c r="D1132" s="22"/>
      <c r="E1132" s="22"/>
      <c r="F1132" s="22"/>
      <c r="G1132" s="22"/>
      <c r="H1132" s="22"/>
      <c r="I1132" s="22"/>
      <c r="J1132" s="17"/>
      <c r="K1132" s="22"/>
      <c r="L1132" s="22"/>
      <c r="M1132" s="17"/>
      <c r="N1132" s="17"/>
      <c r="O1132" s="23"/>
      <c r="P1132" s="23"/>
      <c r="Q1132" s="23"/>
      <c r="R1132" s="23"/>
      <c r="S1132" s="23"/>
      <c r="T1132" s="23"/>
      <c r="U1132" s="22"/>
      <c r="V1132" s="22"/>
      <c r="W1132" s="22"/>
      <c r="X1132" s="22"/>
      <c r="Y1132" s="22"/>
      <c r="Z1132" s="22"/>
    </row>
    <row r="1133" ht="15.75" customHeight="1">
      <c r="A1133" s="22"/>
      <c r="B1133" s="22"/>
      <c r="C1133" s="22"/>
      <c r="D1133" s="22"/>
      <c r="E1133" s="22"/>
      <c r="F1133" s="22"/>
      <c r="G1133" s="22"/>
      <c r="H1133" s="22"/>
      <c r="I1133" s="22"/>
      <c r="J1133" s="17"/>
      <c r="K1133" s="22"/>
      <c r="L1133" s="22"/>
      <c r="M1133" s="17"/>
      <c r="N1133" s="17"/>
      <c r="O1133" s="23"/>
      <c r="P1133" s="23"/>
      <c r="Q1133" s="23"/>
      <c r="R1133" s="23"/>
      <c r="S1133" s="23"/>
      <c r="T1133" s="23"/>
      <c r="U1133" s="22"/>
      <c r="V1133" s="22"/>
      <c r="W1133" s="22"/>
      <c r="X1133" s="22"/>
      <c r="Y1133" s="22"/>
      <c r="Z1133" s="22"/>
    </row>
    <row r="1134" ht="15.75" customHeight="1">
      <c r="A1134" s="22"/>
      <c r="B1134" s="22"/>
      <c r="C1134" s="22"/>
      <c r="D1134" s="22"/>
      <c r="E1134" s="22"/>
      <c r="F1134" s="22"/>
      <c r="G1134" s="22"/>
      <c r="H1134" s="22"/>
      <c r="I1134" s="22"/>
      <c r="J1134" s="17"/>
      <c r="K1134" s="22"/>
      <c r="L1134" s="22"/>
      <c r="M1134" s="17"/>
      <c r="N1134" s="17"/>
      <c r="O1134" s="23"/>
      <c r="P1134" s="23"/>
      <c r="Q1134" s="23"/>
      <c r="R1134" s="23"/>
      <c r="S1134" s="23"/>
      <c r="T1134" s="23"/>
      <c r="U1134" s="22"/>
      <c r="V1134" s="22"/>
      <c r="W1134" s="22"/>
      <c r="X1134" s="22"/>
      <c r="Y1134" s="22"/>
      <c r="Z1134" s="22"/>
    </row>
    <row r="1135" ht="15.75" customHeight="1">
      <c r="A1135" s="22"/>
      <c r="B1135" s="22"/>
      <c r="C1135" s="22"/>
      <c r="D1135" s="22"/>
      <c r="E1135" s="22"/>
      <c r="F1135" s="22"/>
      <c r="G1135" s="22"/>
      <c r="H1135" s="22"/>
      <c r="I1135" s="22"/>
      <c r="J1135" s="17"/>
      <c r="K1135" s="22"/>
      <c r="L1135" s="22"/>
      <c r="M1135" s="17"/>
      <c r="N1135" s="17"/>
      <c r="O1135" s="23"/>
      <c r="P1135" s="23"/>
      <c r="Q1135" s="23"/>
      <c r="R1135" s="23"/>
      <c r="S1135" s="23"/>
      <c r="T1135" s="23"/>
      <c r="U1135" s="22"/>
      <c r="V1135" s="22"/>
      <c r="W1135" s="22"/>
      <c r="X1135" s="22"/>
      <c r="Y1135" s="22"/>
      <c r="Z1135" s="22"/>
    </row>
    <row r="1136" ht="15.75" customHeight="1">
      <c r="A1136" s="22"/>
      <c r="B1136" s="22"/>
      <c r="C1136" s="22"/>
      <c r="D1136" s="22"/>
      <c r="E1136" s="22"/>
      <c r="F1136" s="22"/>
      <c r="G1136" s="22"/>
      <c r="H1136" s="22"/>
      <c r="I1136" s="22"/>
      <c r="J1136" s="17"/>
      <c r="K1136" s="22"/>
      <c r="L1136" s="22"/>
      <c r="M1136" s="17"/>
      <c r="N1136" s="17"/>
      <c r="O1136" s="23"/>
      <c r="P1136" s="23"/>
      <c r="Q1136" s="23"/>
      <c r="R1136" s="23"/>
      <c r="S1136" s="23"/>
      <c r="T1136" s="23"/>
      <c r="U1136" s="22"/>
      <c r="V1136" s="22"/>
      <c r="W1136" s="22"/>
      <c r="X1136" s="22"/>
      <c r="Y1136" s="22"/>
      <c r="Z1136" s="22"/>
    </row>
    <row r="1137" ht="15.75" customHeight="1">
      <c r="A1137" s="22"/>
      <c r="B1137" s="22"/>
      <c r="C1137" s="22"/>
      <c r="D1137" s="22"/>
      <c r="E1137" s="22"/>
      <c r="F1137" s="22"/>
      <c r="G1137" s="22"/>
      <c r="H1137" s="22"/>
      <c r="I1137" s="22"/>
      <c r="J1137" s="17"/>
      <c r="K1137" s="22"/>
      <c r="L1137" s="22"/>
      <c r="M1137" s="17"/>
      <c r="N1137" s="17"/>
      <c r="O1137" s="23"/>
      <c r="P1137" s="23"/>
      <c r="Q1137" s="23"/>
      <c r="R1137" s="23"/>
      <c r="S1137" s="23"/>
      <c r="T1137" s="23"/>
      <c r="U1137" s="22"/>
      <c r="V1137" s="22"/>
      <c r="W1137" s="22"/>
      <c r="X1137" s="22"/>
      <c r="Y1137" s="22"/>
      <c r="Z1137" s="22"/>
    </row>
    <row r="1138" ht="15.75" customHeight="1">
      <c r="A1138" s="22"/>
      <c r="B1138" s="22"/>
      <c r="C1138" s="22"/>
      <c r="D1138" s="22"/>
      <c r="E1138" s="22"/>
      <c r="F1138" s="22"/>
      <c r="G1138" s="22"/>
      <c r="H1138" s="22"/>
      <c r="I1138" s="22"/>
      <c r="J1138" s="17"/>
      <c r="K1138" s="22"/>
      <c r="L1138" s="22"/>
      <c r="M1138" s="17"/>
      <c r="N1138" s="17"/>
      <c r="O1138" s="23"/>
      <c r="P1138" s="23"/>
      <c r="Q1138" s="23"/>
      <c r="R1138" s="23"/>
      <c r="S1138" s="23"/>
      <c r="T1138" s="23"/>
      <c r="U1138" s="22"/>
      <c r="V1138" s="22"/>
      <c r="W1138" s="22"/>
      <c r="X1138" s="22"/>
      <c r="Y1138" s="22"/>
      <c r="Z1138" s="22"/>
    </row>
    <row r="1139" ht="15.75" customHeight="1">
      <c r="A1139" s="22"/>
      <c r="B1139" s="22"/>
      <c r="C1139" s="22"/>
      <c r="D1139" s="22"/>
      <c r="E1139" s="22"/>
      <c r="F1139" s="22"/>
      <c r="G1139" s="22"/>
      <c r="H1139" s="22"/>
      <c r="I1139" s="22"/>
      <c r="J1139" s="17"/>
      <c r="K1139" s="22"/>
      <c r="L1139" s="22"/>
      <c r="M1139" s="17"/>
      <c r="N1139" s="17"/>
      <c r="O1139" s="23"/>
      <c r="P1139" s="23"/>
      <c r="Q1139" s="23"/>
      <c r="R1139" s="23"/>
      <c r="S1139" s="23"/>
      <c r="T1139" s="23"/>
      <c r="U1139" s="22"/>
      <c r="V1139" s="22"/>
      <c r="W1139" s="22"/>
      <c r="X1139" s="22"/>
      <c r="Y1139" s="22"/>
      <c r="Z1139" s="22"/>
    </row>
    <row r="1140" ht="15.75" customHeight="1">
      <c r="A1140" s="22"/>
      <c r="B1140" s="22"/>
      <c r="C1140" s="22"/>
      <c r="D1140" s="22"/>
      <c r="E1140" s="22"/>
      <c r="F1140" s="22"/>
      <c r="G1140" s="22"/>
      <c r="H1140" s="22"/>
      <c r="I1140" s="22"/>
      <c r="J1140" s="17"/>
      <c r="K1140" s="22"/>
      <c r="L1140" s="22"/>
      <c r="M1140" s="17"/>
      <c r="N1140" s="17"/>
      <c r="O1140" s="23"/>
      <c r="P1140" s="23"/>
      <c r="Q1140" s="23"/>
      <c r="R1140" s="23"/>
      <c r="S1140" s="23"/>
      <c r="T1140" s="23"/>
      <c r="U1140" s="22"/>
      <c r="V1140" s="22"/>
      <c r="W1140" s="22"/>
      <c r="X1140" s="22"/>
      <c r="Y1140" s="22"/>
      <c r="Z1140" s="22"/>
    </row>
    <row r="1141" ht="15.75" customHeight="1">
      <c r="A1141" s="22"/>
      <c r="B1141" s="22"/>
      <c r="C1141" s="22"/>
      <c r="D1141" s="22"/>
      <c r="E1141" s="22"/>
      <c r="F1141" s="22"/>
      <c r="G1141" s="22"/>
      <c r="H1141" s="22"/>
      <c r="I1141" s="22"/>
      <c r="J1141" s="17"/>
      <c r="K1141" s="22"/>
      <c r="L1141" s="22"/>
      <c r="M1141" s="17"/>
      <c r="N1141" s="17"/>
      <c r="O1141" s="23"/>
      <c r="P1141" s="23"/>
      <c r="Q1141" s="23"/>
      <c r="R1141" s="23"/>
      <c r="S1141" s="23"/>
      <c r="T1141" s="23"/>
      <c r="U1141" s="22"/>
      <c r="V1141" s="22"/>
      <c r="W1141" s="22"/>
      <c r="X1141" s="22"/>
      <c r="Y1141" s="22"/>
      <c r="Z1141" s="22"/>
    </row>
    <row r="1142" ht="15.75" customHeight="1">
      <c r="A1142" s="22"/>
      <c r="B1142" s="22"/>
      <c r="C1142" s="22"/>
      <c r="D1142" s="22"/>
      <c r="E1142" s="22"/>
      <c r="F1142" s="22"/>
      <c r="G1142" s="22"/>
      <c r="H1142" s="22"/>
      <c r="I1142" s="22"/>
      <c r="J1142" s="17"/>
      <c r="K1142" s="22"/>
      <c r="L1142" s="22"/>
      <c r="M1142" s="17"/>
      <c r="N1142" s="17"/>
      <c r="O1142" s="23"/>
      <c r="P1142" s="23"/>
      <c r="Q1142" s="23"/>
      <c r="R1142" s="23"/>
      <c r="S1142" s="23"/>
      <c r="T1142" s="23"/>
      <c r="U1142" s="22"/>
      <c r="V1142" s="22"/>
      <c r="W1142" s="22"/>
      <c r="X1142" s="22"/>
      <c r="Y1142" s="22"/>
      <c r="Z1142" s="22"/>
    </row>
    <row r="1143" ht="15.75" customHeight="1">
      <c r="A1143" s="22"/>
      <c r="B1143" s="22"/>
      <c r="C1143" s="22"/>
      <c r="D1143" s="22"/>
      <c r="E1143" s="22"/>
      <c r="F1143" s="22"/>
      <c r="G1143" s="22"/>
      <c r="H1143" s="22"/>
      <c r="I1143" s="22"/>
      <c r="J1143" s="17"/>
      <c r="K1143" s="22"/>
      <c r="L1143" s="22"/>
      <c r="M1143" s="17"/>
      <c r="N1143" s="17"/>
      <c r="O1143" s="23"/>
      <c r="P1143" s="23"/>
      <c r="Q1143" s="23"/>
      <c r="R1143" s="23"/>
      <c r="S1143" s="23"/>
      <c r="T1143" s="23"/>
      <c r="U1143" s="22"/>
      <c r="V1143" s="22"/>
      <c r="W1143" s="22"/>
      <c r="X1143" s="22"/>
      <c r="Y1143" s="22"/>
      <c r="Z1143" s="22"/>
    </row>
    <row r="1144" ht="15.75" customHeight="1">
      <c r="A1144" s="22"/>
      <c r="B1144" s="22"/>
      <c r="C1144" s="22"/>
      <c r="D1144" s="22"/>
      <c r="E1144" s="22"/>
      <c r="F1144" s="22"/>
      <c r="G1144" s="22"/>
      <c r="H1144" s="22"/>
      <c r="I1144" s="22"/>
      <c r="J1144" s="17"/>
      <c r="K1144" s="22"/>
      <c r="L1144" s="22"/>
      <c r="M1144" s="17"/>
      <c r="N1144" s="17"/>
      <c r="O1144" s="23"/>
      <c r="P1144" s="23"/>
      <c r="Q1144" s="23"/>
      <c r="R1144" s="23"/>
      <c r="S1144" s="23"/>
      <c r="T1144" s="23"/>
      <c r="U1144" s="22"/>
      <c r="V1144" s="22"/>
      <c r="W1144" s="22"/>
      <c r="X1144" s="22"/>
      <c r="Y1144" s="22"/>
      <c r="Z1144" s="22"/>
    </row>
    <row r="1145" ht="15.75" customHeight="1">
      <c r="A1145" s="22"/>
      <c r="B1145" s="22"/>
      <c r="C1145" s="22"/>
      <c r="D1145" s="22"/>
      <c r="E1145" s="22"/>
      <c r="F1145" s="22"/>
      <c r="G1145" s="22"/>
      <c r="H1145" s="22"/>
      <c r="I1145" s="22"/>
      <c r="J1145" s="17"/>
      <c r="K1145" s="22"/>
      <c r="L1145" s="22"/>
      <c r="M1145" s="17"/>
      <c r="N1145" s="17"/>
      <c r="O1145" s="23"/>
      <c r="P1145" s="23"/>
      <c r="Q1145" s="23"/>
      <c r="R1145" s="23"/>
      <c r="S1145" s="23"/>
      <c r="T1145" s="23"/>
      <c r="U1145" s="22"/>
      <c r="V1145" s="22"/>
      <c r="W1145" s="22"/>
      <c r="X1145" s="22"/>
      <c r="Y1145" s="22"/>
      <c r="Z1145" s="22"/>
    </row>
    <row r="1146" ht="15.75" customHeight="1">
      <c r="A1146" s="22"/>
      <c r="B1146" s="22"/>
      <c r="C1146" s="22"/>
      <c r="D1146" s="22"/>
      <c r="E1146" s="22"/>
      <c r="F1146" s="22"/>
      <c r="G1146" s="22"/>
      <c r="H1146" s="22"/>
      <c r="I1146" s="22"/>
      <c r="J1146" s="17"/>
      <c r="K1146" s="22"/>
      <c r="L1146" s="22"/>
      <c r="M1146" s="17"/>
      <c r="N1146" s="17"/>
      <c r="O1146" s="23"/>
      <c r="P1146" s="23"/>
      <c r="Q1146" s="23"/>
      <c r="R1146" s="23"/>
      <c r="S1146" s="23"/>
      <c r="T1146" s="23"/>
      <c r="U1146" s="22"/>
      <c r="V1146" s="22"/>
      <c r="W1146" s="22"/>
      <c r="X1146" s="22"/>
      <c r="Y1146" s="22"/>
      <c r="Z1146" s="22"/>
    </row>
    <row r="1147" ht="15.75" customHeight="1">
      <c r="A1147" s="22"/>
      <c r="B1147" s="22"/>
      <c r="C1147" s="22"/>
      <c r="D1147" s="22"/>
      <c r="E1147" s="22"/>
      <c r="F1147" s="22"/>
      <c r="G1147" s="22"/>
      <c r="H1147" s="22"/>
      <c r="I1147" s="22"/>
      <c r="J1147" s="17"/>
      <c r="K1147" s="22"/>
      <c r="L1147" s="22"/>
      <c r="M1147" s="17"/>
      <c r="N1147" s="17"/>
      <c r="O1147" s="23"/>
      <c r="P1147" s="23"/>
      <c r="Q1147" s="23"/>
      <c r="R1147" s="23"/>
      <c r="S1147" s="23"/>
      <c r="T1147" s="23"/>
      <c r="U1147" s="22"/>
      <c r="V1147" s="22"/>
      <c r="W1147" s="22"/>
      <c r="X1147" s="22"/>
      <c r="Y1147" s="22"/>
      <c r="Z1147" s="22"/>
    </row>
    <row r="1148" ht="15.75" customHeight="1">
      <c r="A1148" s="22"/>
      <c r="B1148" s="22"/>
      <c r="C1148" s="22"/>
      <c r="D1148" s="22"/>
      <c r="E1148" s="22"/>
      <c r="F1148" s="22"/>
      <c r="G1148" s="22"/>
      <c r="H1148" s="22"/>
      <c r="I1148" s="22"/>
      <c r="J1148" s="17"/>
      <c r="K1148" s="22"/>
      <c r="L1148" s="22"/>
      <c r="M1148" s="17"/>
      <c r="N1148" s="17"/>
      <c r="O1148" s="23"/>
      <c r="P1148" s="23"/>
      <c r="Q1148" s="23"/>
      <c r="R1148" s="23"/>
      <c r="S1148" s="23"/>
      <c r="T1148" s="23"/>
      <c r="U1148" s="22"/>
      <c r="V1148" s="22"/>
      <c r="W1148" s="22"/>
      <c r="X1148" s="22"/>
      <c r="Y1148" s="22"/>
      <c r="Z1148" s="22"/>
    </row>
    <row r="1149" ht="15.75" customHeight="1">
      <c r="A1149" s="22"/>
      <c r="B1149" s="22"/>
      <c r="C1149" s="22"/>
      <c r="D1149" s="22"/>
      <c r="E1149" s="22"/>
      <c r="F1149" s="22"/>
      <c r="G1149" s="22"/>
      <c r="H1149" s="22"/>
      <c r="I1149" s="22"/>
      <c r="J1149" s="17"/>
      <c r="K1149" s="22"/>
      <c r="L1149" s="22"/>
      <c r="M1149" s="17"/>
      <c r="N1149" s="17"/>
      <c r="O1149" s="23"/>
      <c r="P1149" s="23"/>
      <c r="Q1149" s="23"/>
      <c r="R1149" s="23"/>
      <c r="S1149" s="23"/>
      <c r="T1149" s="23"/>
      <c r="U1149" s="22"/>
      <c r="V1149" s="22"/>
      <c r="W1149" s="22"/>
      <c r="X1149" s="22"/>
      <c r="Y1149" s="22"/>
      <c r="Z1149" s="22"/>
    </row>
    <row r="1150" ht="15.75" customHeight="1">
      <c r="A1150" s="22"/>
      <c r="B1150" s="22"/>
      <c r="C1150" s="22"/>
      <c r="D1150" s="22"/>
      <c r="E1150" s="22"/>
      <c r="F1150" s="22"/>
      <c r="G1150" s="22"/>
      <c r="H1150" s="22"/>
      <c r="I1150" s="22"/>
      <c r="J1150" s="17"/>
      <c r="K1150" s="22"/>
      <c r="L1150" s="22"/>
      <c r="M1150" s="17"/>
      <c r="N1150" s="17"/>
      <c r="O1150" s="23"/>
      <c r="P1150" s="23"/>
      <c r="Q1150" s="23"/>
      <c r="R1150" s="23"/>
      <c r="S1150" s="23"/>
      <c r="T1150" s="23"/>
      <c r="U1150" s="22"/>
      <c r="V1150" s="22"/>
      <c r="W1150" s="22"/>
      <c r="X1150" s="22"/>
      <c r="Y1150" s="22"/>
      <c r="Z1150" s="22"/>
    </row>
    <row r="1151" ht="15.75" customHeight="1">
      <c r="A1151" s="22"/>
      <c r="B1151" s="22"/>
      <c r="C1151" s="22"/>
      <c r="D1151" s="22"/>
      <c r="E1151" s="22"/>
      <c r="F1151" s="22"/>
      <c r="G1151" s="22"/>
      <c r="H1151" s="22"/>
      <c r="I1151" s="22"/>
      <c r="J1151" s="17"/>
      <c r="K1151" s="22"/>
      <c r="L1151" s="22"/>
      <c r="M1151" s="17"/>
      <c r="N1151" s="17"/>
      <c r="O1151" s="23"/>
      <c r="P1151" s="23"/>
      <c r="Q1151" s="23"/>
      <c r="R1151" s="23"/>
      <c r="S1151" s="23"/>
      <c r="T1151" s="23"/>
      <c r="U1151" s="22"/>
      <c r="V1151" s="22"/>
      <c r="W1151" s="22"/>
      <c r="X1151" s="22"/>
      <c r="Y1151" s="22"/>
      <c r="Z1151" s="22"/>
    </row>
    <row r="1152" ht="15.75" customHeight="1">
      <c r="A1152" s="22"/>
      <c r="B1152" s="22"/>
      <c r="C1152" s="22"/>
      <c r="D1152" s="22"/>
      <c r="E1152" s="22"/>
      <c r="F1152" s="22"/>
      <c r="G1152" s="22"/>
      <c r="H1152" s="22"/>
      <c r="I1152" s="22"/>
      <c r="J1152" s="17"/>
      <c r="K1152" s="22"/>
      <c r="L1152" s="22"/>
      <c r="M1152" s="17"/>
      <c r="N1152" s="17"/>
      <c r="O1152" s="23"/>
      <c r="P1152" s="23"/>
      <c r="Q1152" s="23"/>
      <c r="R1152" s="23"/>
      <c r="S1152" s="23"/>
      <c r="T1152" s="23"/>
      <c r="U1152" s="22"/>
      <c r="V1152" s="22"/>
      <c r="W1152" s="22"/>
      <c r="X1152" s="22"/>
      <c r="Y1152" s="22"/>
      <c r="Z1152" s="22"/>
    </row>
    <row r="1153" ht="15.75" customHeight="1">
      <c r="A1153" s="22"/>
      <c r="B1153" s="22"/>
      <c r="C1153" s="22"/>
      <c r="D1153" s="22"/>
      <c r="E1153" s="22"/>
      <c r="F1153" s="22"/>
      <c r="G1153" s="22"/>
      <c r="H1153" s="22"/>
      <c r="I1153" s="22"/>
      <c r="J1153" s="17"/>
      <c r="K1153" s="22"/>
      <c r="L1153" s="22"/>
      <c r="M1153" s="17"/>
      <c r="N1153" s="17"/>
      <c r="O1153" s="23"/>
      <c r="P1153" s="23"/>
      <c r="Q1153" s="23"/>
      <c r="R1153" s="23"/>
      <c r="S1153" s="23"/>
      <c r="T1153" s="23"/>
      <c r="U1153" s="22"/>
      <c r="V1153" s="22"/>
      <c r="W1153" s="22"/>
      <c r="X1153" s="22"/>
      <c r="Y1153" s="22"/>
      <c r="Z1153" s="22"/>
    </row>
    <row r="1154" ht="15.75" customHeight="1">
      <c r="A1154" s="22"/>
      <c r="B1154" s="22"/>
      <c r="C1154" s="22"/>
      <c r="D1154" s="22"/>
      <c r="E1154" s="22"/>
      <c r="F1154" s="22"/>
      <c r="G1154" s="22"/>
      <c r="H1154" s="22"/>
      <c r="I1154" s="22"/>
      <c r="J1154" s="17"/>
      <c r="K1154" s="22"/>
      <c r="L1154" s="22"/>
      <c r="M1154" s="17"/>
      <c r="N1154" s="17"/>
      <c r="O1154" s="23"/>
      <c r="P1154" s="23"/>
      <c r="Q1154" s="23"/>
      <c r="R1154" s="23"/>
      <c r="S1154" s="23"/>
      <c r="T1154" s="23"/>
      <c r="U1154" s="22"/>
      <c r="V1154" s="22"/>
      <c r="W1154" s="22"/>
      <c r="X1154" s="22"/>
      <c r="Y1154" s="22"/>
      <c r="Z1154" s="22"/>
    </row>
  </sheetData>
  <conditionalFormatting sqref="H2:H1154">
    <cfRule type="cellIs" dxfId="4" priority="1" operator="equal">
      <formula>"Yes"</formula>
    </cfRule>
  </conditionalFormatting>
  <conditionalFormatting sqref="H2:H1154">
    <cfRule type="cellIs" dxfId="5" priority="2" operator="equal">
      <formula>"No"</formula>
    </cfRule>
  </conditionalFormatting>
  <conditionalFormatting sqref="I2:I1154">
    <cfRule type="cellIs" dxfId="6" priority="3" operator="equal">
      <formula>"Yes"</formula>
    </cfRule>
  </conditionalFormatting>
  <conditionalFormatting sqref="I1:I1154">
    <cfRule type="cellIs" dxfId="4" priority="4" operator="equal">
      <formula>"No"</formula>
    </cfRule>
  </conditionalFormatting>
  <hyperlinks>
    <hyperlink r:id="rId2" ref="M2"/>
    <hyperlink r:id="rId3" ref="M5"/>
    <hyperlink r:id="rId4" ref="M16"/>
    <hyperlink r:id="rId5" ref="M19"/>
    <hyperlink r:id="rId6" ref="M21"/>
    <hyperlink r:id="rId7" ref="M22"/>
    <hyperlink r:id="rId8" ref="M23"/>
    <hyperlink r:id="rId9" ref="M25"/>
    <hyperlink r:id="rId10" ref="M26"/>
    <hyperlink r:id="rId11" ref="M27"/>
    <hyperlink r:id="rId12" ref="M31"/>
    <hyperlink r:id="rId13" ref="M32"/>
    <hyperlink r:id="rId14" ref="M33"/>
    <hyperlink r:id="rId15" ref="M34"/>
    <hyperlink r:id="rId16" ref="M37"/>
    <hyperlink r:id="rId17" ref="M38"/>
    <hyperlink r:id="rId18" ref="M40"/>
    <hyperlink r:id="rId19" ref="M41"/>
    <hyperlink r:id="rId20" ref="M42"/>
    <hyperlink r:id="rId21" ref="M43"/>
    <hyperlink r:id="rId22" ref="M44"/>
    <hyperlink r:id="rId23" ref="M45"/>
    <hyperlink r:id="rId24" ref="M46"/>
    <hyperlink r:id="rId25" ref="M47"/>
    <hyperlink r:id="rId26" ref="M48"/>
    <hyperlink r:id="rId27" ref="M51"/>
    <hyperlink r:id="rId28" ref="M52"/>
    <hyperlink r:id="rId29" ref="M58"/>
    <hyperlink r:id="rId30" ref="M59"/>
    <hyperlink r:id="rId31" ref="M61"/>
    <hyperlink r:id="rId32" ref="M62"/>
    <hyperlink r:id="rId33" ref="M63"/>
    <hyperlink r:id="rId34" ref="M64"/>
    <hyperlink r:id="rId35" ref="M68"/>
    <hyperlink r:id="rId36" ref="M69"/>
    <hyperlink r:id="rId37" ref="M74"/>
    <hyperlink r:id="rId38" ref="M76"/>
    <hyperlink r:id="rId39" ref="M77"/>
    <hyperlink r:id="rId40" ref="M78"/>
    <hyperlink r:id="rId41" ref="M81"/>
    <hyperlink r:id="rId42" ref="M83"/>
    <hyperlink r:id="rId43" ref="M84"/>
    <hyperlink r:id="rId44" ref="M85"/>
    <hyperlink r:id="rId45" ref="M87"/>
    <hyperlink r:id="rId46" ref="M89"/>
    <hyperlink r:id="rId47" ref="M93"/>
    <hyperlink r:id="rId48" ref="M94"/>
    <hyperlink r:id="rId49" ref="M96"/>
    <hyperlink r:id="rId50" ref="M100"/>
    <hyperlink r:id="rId51" ref="M102"/>
    <hyperlink r:id="rId52" ref="M105"/>
    <hyperlink r:id="rId53" ref="M106"/>
    <hyperlink r:id="rId54" ref="M107"/>
    <hyperlink r:id="rId55" ref="M109"/>
    <hyperlink r:id="rId56" ref="M110"/>
    <hyperlink r:id="rId57" ref="M112"/>
    <hyperlink r:id="rId58" ref="M113"/>
    <hyperlink r:id="rId59" ref="M114"/>
    <hyperlink r:id="rId60" ref="M115"/>
    <hyperlink r:id="rId61" ref="M116"/>
    <hyperlink r:id="rId62" ref="M117"/>
    <hyperlink r:id="rId63" ref="M118"/>
    <hyperlink r:id="rId64" ref="M119"/>
    <hyperlink r:id="rId65" ref="M125"/>
    <hyperlink r:id="rId66" ref="M127"/>
    <hyperlink r:id="rId67" ref="M128"/>
    <hyperlink r:id="rId68" ref="M129"/>
    <hyperlink r:id="rId69" ref="M130"/>
    <hyperlink r:id="rId70" ref="M131"/>
    <hyperlink r:id="rId71" ref="M132"/>
    <hyperlink r:id="rId72" ref="M133"/>
    <hyperlink r:id="rId73" ref="M135"/>
    <hyperlink r:id="rId74" ref="M136"/>
    <hyperlink r:id="rId75" ref="M137"/>
    <hyperlink r:id="rId76" ref="M138"/>
    <hyperlink r:id="rId77" ref="M139"/>
    <hyperlink r:id="rId78" ref="M142"/>
    <hyperlink r:id="rId79" ref="M144"/>
    <hyperlink r:id="rId80" ref="M146"/>
    <hyperlink r:id="rId81" ref="M151"/>
    <hyperlink r:id="rId82" ref="M152"/>
    <hyperlink r:id="rId83" ref="M153"/>
    <hyperlink r:id="rId84" ref="M155"/>
    <hyperlink r:id="rId85" ref="M156"/>
    <hyperlink r:id="rId86" ref="M159"/>
    <hyperlink r:id="rId87" ref="M160"/>
    <hyperlink r:id="rId88" ref="M167"/>
    <hyperlink r:id="rId89" ref="M168"/>
    <hyperlink r:id="rId90" ref="M169"/>
    <hyperlink r:id="rId91" ref="M172"/>
    <hyperlink r:id="rId92" ref="M173"/>
    <hyperlink r:id="rId93" ref="M174"/>
    <hyperlink r:id="rId94" ref="M175"/>
    <hyperlink r:id="rId95" ref="M176"/>
    <hyperlink r:id="rId96" ref="M180"/>
    <hyperlink r:id="rId97" ref="M181"/>
    <hyperlink r:id="rId98" ref="M187"/>
    <hyperlink r:id="rId99" ref="M193"/>
    <hyperlink r:id="rId100" ref="M195"/>
    <hyperlink r:id="rId101" ref="M197"/>
    <hyperlink r:id="rId102" ref="M199"/>
    <hyperlink r:id="rId103" ref="M200"/>
    <hyperlink r:id="rId104" ref="M201"/>
    <hyperlink r:id="rId105" ref="M203"/>
    <hyperlink r:id="rId106" ref="M204"/>
    <hyperlink r:id="rId107" ref="M205"/>
    <hyperlink r:id="rId108" ref="M206"/>
    <hyperlink r:id="rId109" ref="M209"/>
    <hyperlink r:id="rId110" ref="M211"/>
    <hyperlink r:id="rId111" ref="M214"/>
    <hyperlink r:id="rId112" ref="M219"/>
    <hyperlink r:id="rId113" ref="M220"/>
    <hyperlink r:id="rId114" ref="M227"/>
    <hyperlink r:id="rId115" ref="M231"/>
    <hyperlink r:id="rId116" ref="M233"/>
    <hyperlink r:id="rId117" ref="M234"/>
    <hyperlink r:id="rId118" ref="M235"/>
    <hyperlink r:id="rId119" ref="M236"/>
    <hyperlink r:id="rId120" ref="M237"/>
    <hyperlink r:id="rId121" ref="M241"/>
    <hyperlink r:id="rId122" ref="M242"/>
    <hyperlink r:id="rId123" ref="M243"/>
    <hyperlink r:id="rId124" ref="M244"/>
    <hyperlink r:id="rId125" ref="M246"/>
    <hyperlink r:id="rId126" ref="M247"/>
    <hyperlink r:id="rId127" ref="M248"/>
    <hyperlink r:id="rId128" ref="M249"/>
    <hyperlink r:id="rId129" ref="M251"/>
    <hyperlink r:id="rId130" ref="M252"/>
    <hyperlink r:id="rId131" ref="M255"/>
    <hyperlink r:id="rId132" ref="M256"/>
    <hyperlink r:id="rId133" ref="M257"/>
    <hyperlink r:id="rId134" ref="M262"/>
    <hyperlink r:id="rId135" ref="M263"/>
    <hyperlink r:id="rId136" ref="M264"/>
    <hyperlink r:id="rId137" ref="M266"/>
    <hyperlink r:id="rId138" ref="M267"/>
    <hyperlink r:id="rId139" ref="M270"/>
    <hyperlink r:id="rId140" ref="M271"/>
    <hyperlink r:id="rId141" ref="M272"/>
    <hyperlink r:id="rId142" ref="M273"/>
    <hyperlink r:id="rId143" ref="M276"/>
    <hyperlink r:id="rId144" ref="M277"/>
    <hyperlink r:id="rId145" ref="M280"/>
    <hyperlink r:id="rId146" ref="M282"/>
    <hyperlink r:id="rId147" ref="M283"/>
    <hyperlink r:id="rId148" ref="M284"/>
    <hyperlink r:id="rId149" ref="M287"/>
    <hyperlink r:id="rId150" ref="M288"/>
    <hyperlink r:id="rId151" ref="M291"/>
    <hyperlink r:id="rId152" ref="M292"/>
    <hyperlink r:id="rId153" ref="M293"/>
    <hyperlink r:id="rId154" ref="M294"/>
    <hyperlink r:id="rId155" ref="M295"/>
    <hyperlink r:id="rId156" ref="M296"/>
    <hyperlink r:id="rId157" ref="M299"/>
    <hyperlink r:id="rId158" ref="M304"/>
    <hyperlink r:id="rId159" ref="M305"/>
    <hyperlink r:id="rId160" ref="M308"/>
    <hyperlink r:id="rId161" ref="M309"/>
    <hyperlink r:id="rId162" ref="M310"/>
    <hyperlink r:id="rId163" ref="M311"/>
    <hyperlink r:id="rId164" ref="M312"/>
    <hyperlink r:id="rId165" ref="M313"/>
    <hyperlink r:id="rId166" ref="M322"/>
    <hyperlink r:id="rId167" ref="M323"/>
    <hyperlink r:id="rId168" ref="M324"/>
    <hyperlink r:id="rId169" ref="M325"/>
    <hyperlink r:id="rId170" ref="M326"/>
    <hyperlink r:id="rId171" ref="M333"/>
    <hyperlink r:id="rId172" ref="M334"/>
    <hyperlink r:id="rId173" ref="M336"/>
    <hyperlink r:id="rId174" ref="M338"/>
    <hyperlink r:id="rId175" ref="M340"/>
    <hyperlink r:id="rId176" ref="M344"/>
    <hyperlink r:id="rId177" ref="M345"/>
    <hyperlink r:id="rId178" ref="M346"/>
    <hyperlink r:id="rId179" ref="M347"/>
    <hyperlink r:id="rId180" ref="M348"/>
    <hyperlink r:id="rId181" ref="M349"/>
    <hyperlink r:id="rId182" ref="M350"/>
    <hyperlink r:id="rId183" ref="M351"/>
    <hyperlink r:id="rId184" ref="M352"/>
    <hyperlink r:id="rId185" ref="M353"/>
    <hyperlink r:id="rId186" ref="M354"/>
    <hyperlink r:id="rId187" ref="M355"/>
    <hyperlink r:id="rId188" ref="M356"/>
    <hyperlink r:id="rId189" ref="M358"/>
    <hyperlink r:id="rId190" ref="M359"/>
    <hyperlink r:id="rId191" ref="M360"/>
    <hyperlink r:id="rId192" ref="M363"/>
    <hyperlink r:id="rId193" ref="M365"/>
    <hyperlink r:id="rId194" ref="M368"/>
    <hyperlink r:id="rId195" ref="M369"/>
    <hyperlink r:id="rId196" ref="M371"/>
    <hyperlink r:id="rId197" ref="M372"/>
    <hyperlink r:id="rId198" ref="M374"/>
    <hyperlink r:id="rId199" ref="M376"/>
    <hyperlink r:id="rId200" ref="M377"/>
    <hyperlink r:id="rId201" ref="M379"/>
    <hyperlink r:id="rId202" ref="M380"/>
    <hyperlink r:id="rId203" ref="M383"/>
    <hyperlink r:id="rId204" ref="M384"/>
    <hyperlink r:id="rId205" ref="M385"/>
    <hyperlink r:id="rId206" ref="M389"/>
    <hyperlink r:id="rId207" ref="M390"/>
    <hyperlink r:id="rId208" ref="M392"/>
    <hyperlink r:id="rId209" ref="M393"/>
    <hyperlink r:id="rId210" ref="M397"/>
    <hyperlink r:id="rId211" ref="M398"/>
    <hyperlink r:id="rId212" ref="M399"/>
    <hyperlink r:id="rId213" ref="M404"/>
    <hyperlink r:id="rId214" ref="M405"/>
    <hyperlink r:id="rId215" ref="M407"/>
    <hyperlink r:id="rId216" ref="M409"/>
    <hyperlink r:id="rId217" ref="M412"/>
    <hyperlink r:id="rId218" ref="M414"/>
    <hyperlink r:id="rId219" ref="M415"/>
    <hyperlink r:id="rId220" ref="M416"/>
    <hyperlink r:id="rId221" ref="M417"/>
    <hyperlink r:id="rId222" ref="M418"/>
    <hyperlink r:id="rId223" ref="M420"/>
    <hyperlink r:id="rId224" ref="M422"/>
    <hyperlink r:id="rId225" ref="M427"/>
    <hyperlink r:id="rId226" ref="M428"/>
    <hyperlink r:id="rId227" ref="M429"/>
    <hyperlink r:id="rId228" ref="M432"/>
    <hyperlink r:id="rId229" ref="M433"/>
    <hyperlink r:id="rId230" ref="M437"/>
    <hyperlink r:id="rId231" ref="M440"/>
    <hyperlink r:id="rId232" ref="M441"/>
    <hyperlink r:id="rId233" ref="M442"/>
    <hyperlink r:id="rId234" ref="M446"/>
    <hyperlink r:id="rId235" ref="M452"/>
    <hyperlink r:id="rId236" ref="M453"/>
    <hyperlink r:id="rId237" ref="M456"/>
    <hyperlink r:id="rId238" ref="M457"/>
    <hyperlink r:id="rId239" ref="M459"/>
    <hyperlink r:id="rId240" ref="M460"/>
    <hyperlink r:id="rId241" ref="M461"/>
    <hyperlink r:id="rId242" ref="M462"/>
    <hyperlink r:id="rId243" ref="M466"/>
    <hyperlink r:id="rId244" ref="M467"/>
    <hyperlink r:id="rId245" ref="M468"/>
    <hyperlink r:id="rId246" ref="M470"/>
    <hyperlink r:id="rId247" ref="M479"/>
    <hyperlink r:id="rId248" ref="M480"/>
    <hyperlink r:id="rId249" ref="M481"/>
    <hyperlink r:id="rId250" ref="M483"/>
    <hyperlink r:id="rId251" ref="M484"/>
    <hyperlink r:id="rId252" ref="M490"/>
    <hyperlink r:id="rId253" ref="M491"/>
    <hyperlink r:id="rId254" ref="M494"/>
    <hyperlink r:id="rId255" ref="M496"/>
    <hyperlink r:id="rId256" ref="M497"/>
    <hyperlink r:id="rId257" ref="M498"/>
    <hyperlink r:id="rId258" ref="M500"/>
    <hyperlink r:id="rId259" ref="K509"/>
    <hyperlink r:id="rId260" ref="M509"/>
    <hyperlink r:id="rId261" ref="M510"/>
    <hyperlink r:id="rId262" ref="M511"/>
    <hyperlink r:id="rId263" ref="M513"/>
    <hyperlink r:id="rId264" ref="M516"/>
    <hyperlink r:id="rId265" ref="M517"/>
    <hyperlink r:id="rId266" ref="M518"/>
    <hyperlink r:id="rId267" ref="M519"/>
    <hyperlink r:id="rId268" ref="M522"/>
    <hyperlink r:id="rId269" ref="M523"/>
    <hyperlink r:id="rId270" ref="M524"/>
    <hyperlink r:id="rId271" ref="M528"/>
    <hyperlink r:id="rId272" ref="M529"/>
    <hyperlink r:id="rId273" ref="M531"/>
    <hyperlink r:id="rId274" ref="M533"/>
    <hyperlink r:id="rId275" ref="M534"/>
    <hyperlink r:id="rId276" ref="M536"/>
    <hyperlink r:id="rId277" ref="M539"/>
    <hyperlink r:id="rId278" ref="M540"/>
    <hyperlink r:id="rId279" ref="M543"/>
    <hyperlink r:id="rId280" ref="M545"/>
    <hyperlink r:id="rId281" ref="M546"/>
    <hyperlink r:id="rId282" ref="M549"/>
    <hyperlink r:id="rId283" ref="M551"/>
    <hyperlink r:id="rId284" ref="M553"/>
    <hyperlink r:id="rId285" ref="M555"/>
    <hyperlink r:id="rId286" ref="M556"/>
    <hyperlink r:id="rId287" ref="M557"/>
    <hyperlink r:id="rId288" ref="M558"/>
    <hyperlink r:id="rId289" ref="M559"/>
    <hyperlink r:id="rId290" ref="M560"/>
    <hyperlink r:id="rId291" ref="M564"/>
    <hyperlink r:id="rId292" ref="M566"/>
    <hyperlink r:id="rId293" ref="M567"/>
    <hyperlink r:id="rId294" ref="M573"/>
    <hyperlink r:id="rId295" ref="M578"/>
    <hyperlink r:id="rId296" ref="M579"/>
    <hyperlink r:id="rId297" ref="M580"/>
    <hyperlink r:id="rId298" ref="M583"/>
    <hyperlink r:id="rId299" ref="M584"/>
    <hyperlink r:id="rId300" ref="M586"/>
    <hyperlink r:id="rId301" ref="M588"/>
    <hyperlink r:id="rId302" ref="M589"/>
    <hyperlink r:id="rId303" ref="M591"/>
    <hyperlink r:id="rId304" ref="M592"/>
    <hyperlink r:id="rId305" ref="M593"/>
    <hyperlink r:id="rId306" ref="M595"/>
    <hyperlink r:id="rId307" ref="M597"/>
    <hyperlink r:id="rId308" ref="M599"/>
    <hyperlink r:id="rId309" ref="M601"/>
    <hyperlink r:id="rId310" ref="M602"/>
    <hyperlink r:id="rId311" ref="M606"/>
    <hyperlink r:id="rId312" ref="M610"/>
    <hyperlink r:id="rId313" ref="M611"/>
    <hyperlink r:id="rId314" ref="M612"/>
    <hyperlink r:id="rId315" ref="M616"/>
    <hyperlink r:id="rId316" ref="M617"/>
    <hyperlink r:id="rId317" ref="M618"/>
    <hyperlink r:id="rId318" ref="M619"/>
    <hyperlink r:id="rId319" ref="M620"/>
    <hyperlink r:id="rId320" ref="M626"/>
    <hyperlink r:id="rId321" ref="M628"/>
    <hyperlink r:id="rId322" ref="M630"/>
    <hyperlink r:id="rId323" ref="M632"/>
    <hyperlink r:id="rId324" ref="M633"/>
    <hyperlink r:id="rId325" ref="M634"/>
    <hyperlink r:id="rId326" ref="M635"/>
    <hyperlink r:id="rId327" ref="M637"/>
    <hyperlink r:id="rId328" ref="M638"/>
    <hyperlink r:id="rId329" ref="M640"/>
    <hyperlink r:id="rId330" ref="M643"/>
    <hyperlink r:id="rId331" ref="M646"/>
    <hyperlink r:id="rId332" ref="M647"/>
    <hyperlink r:id="rId333" ref="M649"/>
    <hyperlink r:id="rId334" ref="M650"/>
    <hyperlink r:id="rId335" ref="M651"/>
    <hyperlink r:id="rId336" ref="M652"/>
    <hyperlink r:id="rId337" ref="M653"/>
    <hyperlink r:id="rId338" ref="M655"/>
    <hyperlink r:id="rId339" ref="M656"/>
    <hyperlink r:id="rId340" ref="M657"/>
    <hyperlink r:id="rId341" ref="M660"/>
    <hyperlink r:id="rId342" ref="M661"/>
    <hyperlink r:id="rId343" ref="M662"/>
    <hyperlink r:id="rId344" ref="M663"/>
    <hyperlink r:id="rId345" ref="M664"/>
    <hyperlink r:id="rId346" ref="M665"/>
    <hyperlink r:id="rId347" ref="M667"/>
    <hyperlink r:id="rId348" ref="M668"/>
    <hyperlink r:id="rId349" ref="M671"/>
    <hyperlink r:id="rId350" ref="M673"/>
    <hyperlink r:id="rId351" ref="M675"/>
    <hyperlink r:id="rId352" ref="M676"/>
    <hyperlink r:id="rId353" ref="M679"/>
    <hyperlink r:id="rId354" ref="M680"/>
    <hyperlink r:id="rId355" ref="M683"/>
    <hyperlink r:id="rId356" ref="M689"/>
    <hyperlink r:id="rId357" ref="M690"/>
    <hyperlink r:id="rId358" ref="M692"/>
    <hyperlink r:id="rId359" ref="M693"/>
    <hyperlink r:id="rId360" ref="M694"/>
    <hyperlink r:id="rId361" ref="M697"/>
    <hyperlink r:id="rId362" ref="M698"/>
    <hyperlink r:id="rId363" ref="M699"/>
    <hyperlink r:id="rId364" ref="M700"/>
    <hyperlink r:id="rId365" ref="M701"/>
    <hyperlink r:id="rId366" ref="M702"/>
    <hyperlink r:id="rId367" ref="M703"/>
    <hyperlink r:id="rId368" ref="M704"/>
    <hyperlink r:id="rId369" ref="M706"/>
    <hyperlink r:id="rId370" ref="M707"/>
    <hyperlink r:id="rId371" ref="M710"/>
    <hyperlink r:id="rId372" ref="M711"/>
    <hyperlink r:id="rId373" ref="M712"/>
    <hyperlink r:id="rId374" ref="M715"/>
    <hyperlink r:id="rId375" ref="M716"/>
    <hyperlink r:id="rId376" ref="M717"/>
    <hyperlink r:id="rId377" ref="M718"/>
    <hyperlink r:id="rId378" ref="M719"/>
    <hyperlink r:id="rId379" ref="M720"/>
    <hyperlink r:id="rId380" ref="M723"/>
    <hyperlink r:id="rId381" ref="M726"/>
    <hyperlink r:id="rId382" ref="M727"/>
    <hyperlink r:id="rId383" ref="M731"/>
    <hyperlink r:id="rId384" ref="M732"/>
    <hyperlink r:id="rId385" ref="M733"/>
    <hyperlink r:id="rId386" ref="M740"/>
    <hyperlink r:id="rId387" ref="M741"/>
    <hyperlink r:id="rId388" ref="M743"/>
    <hyperlink r:id="rId389" ref="M744"/>
    <hyperlink r:id="rId390" ref="M745"/>
    <hyperlink r:id="rId391" ref="M746"/>
    <hyperlink r:id="rId392" ref="M748"/>
    <hyperlink r:id="rId393" ref="M749"/>
    <hyperlink r:id="rId394" ref="M752"/>
    <hyperlink r:id="rId395" ref="M754"/>
    <hyperlink r:id="rId396" ref="M755"/>
    <hyperlink r:id="rId397" ref="M760"/>
    <hyperlink r:id="rId398" ref="M763"/>
    <hyperlink r:id="rId399" ref="M765"/>
    <hyperlink r:id="rId400" ref="M771"/>
    <hyperlink r:id="rId401" ref="M772"/>
    <hyperlink r:id="rId402" ref="M773"/>
    <hyperlink r:id="rId403" ref="M774"/>
    <hyperlink r:id="rId404" ref="M775"/>
    <hyperlink r:id="rId405" ref="M778"/>
    <hyperlink r:id="rId406" ref="M779"/>
    <hyperlink r:id="rId407" ref="M780"/>
    <hyperlink r:id="rId408" ref="M783"/>
    <hyperlink r:id="rId409" ref="M785"/>
    <hyperlink r:id="rId410" ref="M787"/>
    <hyperlink r:id="rId411" ref="M788"/>
    <hyperlink r:id="rId412" ref="M789"/>
    <hyperlink r:id="rId413" ref="M790"/>
    <hyperlink r:id="rId414" ref="M791"/>
    <hyperlink r:id="rId415" ref="M797"/>
    <hyperlink r:id="rId416" ref="M802"/>
    <hyperlink r:id="rId417" ref="M805"/>
    <hyperlink r:id="rId418" ref="M810"/>
    <hyperlink r:id="rId419" ref="M811"/>
    <hyperlink r:id="rId420" ref="M815"/>
    <hyperlink r:id="rId421" ref="M824"/>
    <hyperlink r:id="rId422" ref="M825"/>
    <hyperlink r:id="rId423" ref="M828"/>
    <hyperlink r:id="rId424" ref="M829"/>
    <hyperlink r:id="rId425" ref="M831"/>
    <hyperlink r:id="rId426" ref="M832"/>
    <hyperlink r:id="rId427" ref="M833"/>
    <hyperlink r:id="rId428" ref="M834"/>
    <hyperlink r:id="rId429" ref="M837"/>
    <hyperlink r:id="rId430" ref="M844"/>
    <hyperlink r:id="rId431" ref="M846"/>
    <hyperlink r:id="rId432" ref="M848"/>
    <hyperlink r:id="rId433" ref="M849"/>
    <hyperlink r:id="rId434" ref="M850"/>
    <hyperlink r:id="rId435" ref="M851"/>
    <hyperlink r:id="rId436" ref="M852"/>
    <hyperlink r:id="rId437" ref="M853"/>
    <hyperlink r:id="rId438" ref="M854"/>
    <hyperlink r:id="rId439" ref="M856"/>
    <hyperlink r:id="rId440" ref="M857"/>
    <hyperlink r:id="rId441" ref="M858"/>
    <hyperlink r:id="rId442" ref="M859"/>
    <hyperlink r:id="rId443" ref="K862"/>
    <hyperlink r:id="rId444" ref="M863"/>
    <hyperlink r:id="rId445" ref="M865"/>
    <hyperlink r:id="rId446" ref="M868"/>
    <hyperlink r:id="rId447" ref="M870"/>
    <hyperlink r:id="rId448" ref="M871"/>
    <hyperlink r:id="rId449" ref="M872"/>
    <hyperlink r:id="rId450" ref="M878"/>
    <hyperlink r:id="rId451" ref="M879"/>
    <hyperlink r:id="rId452" ref="M882"/>
    <hyperlink r:id="rId453" ref="M885"/>
    <hyperlink r:id="rId454" ref="M886"/>
    <hyperlink r:id="rId455" ref="M888"/>
    <hyperlink r:id="rId456" ref="M895"/>
    <hyperlink r:id="rId457" ref="M906"/>
    <hyperlink r:id="rId458" ref="M908"/>
    <hyperlink r:id="rId459" ref="M909"/>
    <hyperlink r:id="rId460" ref="M910"/>
    <hyperlink r:id="rId461" ref="M912"/>
    <hyperlink r:id="rId462" ref="M914"/>
    <hyperlink r:id="rId463" ref="M915"/>
    <hyperlink r:id="rId464" ref="M916"/>
    <hyperlink r:id="rId465" ref="M919"/>
    <hyperlink r:id="rId466" ref="M929"/>
    <hyperlink r:id="rId467" ref="M947"/>
    <hyperlink r:id="rId468" ref="M949"/>
    <hyperlink r:id="rId469" ref="M953"/>
    <hyperlink r:id="rId470" ref="M954"/>
    <hyperlink r:id="rId471" ref="M963"/>
    <hyperlink r:id="rId472" ref="M966"/>
    <hyperlink r:id="rId473" ref="M971"/>
    <hyperlink r:id="rId474" ref="M972"/>
    <hyperlink r:id="rId475" ref="M973"/>
    <hyperlink r:id="rId476" ref="M982"/>
    <hyperlink r:id="rId477" ref="M987"/>
    <hyperlink r:id="rId478" ref="M991"/>
    <hyperlink r:id="rId479" ref="M992"/>
    <hyperlink r:id="rId480" ref="M993"/>
    <hyperlink r:id="rId481" ref="M995"/>
    <hyperlink r:id="rId482" ref="M1000"/>
    <hyperlink r:id="rId483" ref="M1002"/>
    <hyperlink r:id="rId484" ref="M1003"/>
    <hyperlink r:id="rId485" ref="M1012"/>
    <hyperlink r:id="rId486" ref="M1015"/>
    <hyperlink r:id="rId487" ref="M1016"/>
    <hyperlink r:id="rId488" ref="M1017"/>
    <hyperlink r:id="rId489" ref="M1018"/>
    <hyperlink r:id="rId490" ref="M1022"/>
    <hyperlink r:id="rId491" ref="M1030"/>
    <hyperlink r:id="rId492" ref="M1037"/>
    <hyperlink r:id="rId493" ref="M1038"/>
    <hyperlink r:id="rId494" ref="M1041"/>
    <hyperlink r:id="rId495" ref="M1049"/>
    <hyperlink r:id="rId496" ref="M1050"/>
  </hyperlinks>
  <drawing r:id="rId497"/>
  <legacyDrawing r:id="rId498"/>
  <tableParts count="1">
    <tablePart r:id="rId50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32.75"/>
  </cols>
  <sheetData>
    <row r="1">
      <c r="A1" s="1" t="s">
        <v>0</v>
      </c>
      <c r="B1" s="3" t="s">
        <v>1</v>
      </c>
    </row>
    <row r="3">
      <c r="A3" s="3" t="s">
        <v>4</v>
      </c>
      <c r="B3" s="6"/>
    </row>
    <row r="5">
      <c r="A5" s="8"/>
    </row>
  </sheetData>
  <hyperlinks>
    <hyperlink r:id="rId1" ref="B1"/>
    <hyperlink r:id="rId2" ref="A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8.0"/>
    <col customWidth="1" min="3" max="3" width="17.88"/>
    <col customWidth="1" min="4" max="4" width="33.25"/>
    <col customWidth="1" min="5" max="5" width="23.25"/>
    <col customWidth="1" min="6" max="6" width="11.13"/>
    <col customWidth="1" min="8" max="8" width="7.5"/>
    <col customWidth="1" min="10" max="10" width="23.75"/>
  </cols>
  <sheetData>
    <row r="1">
      <c r="A1" s="1" t="s">
        <v>2</v>
      </c>
      <c r="B1" s="2" t="s">
        <v>3</v>
      </c>
      <c r="C1" s="4"/>
      <c r="D1" s="4"/>
      <c r="E1" s="4"/>
      <c r="F1" s="4"/>
      <c r="G1" s="4"/>
      <c r="H1" s="4"/>
      <c r="I1" s="4"/>
      <c r="J1" s="4"/>
      <c r="K1" s="4"/>
      <c r="L1" s="4"/>
      <c r="M1" s="4"/>
      <c r="N1" s="7"/>
      <c r="O1" s="4"/>
      <c r="P1" s="4"/>
      <c r="Q1" s="4"/>
      <c r="R1" s="4"/>
      <c r="S1" s="4"/>
      <c r="T1" s="4"/>
      <c r="U1" s="4"/>
      <c r="V1" s="4"/>
      <c r="W1" s="4"/>
      <c r="X1" s="4"/>
      <c r="Y1" s="4"/>
    </row>
    <row r="2">
      <c r="A2" s="4"/>
      <c r="B2" s="11" t="s">
        <v>17</v>
      </c>
      <c r="C2" s="13"/>
      <c r="D2" s="13"/>
      <c r="E2" s="13"/>
      <c r="F2" s="4"/>
      <c r="G2" s="4"/>
      <c r="H2" s="4"/>
      <c r="I2" s="4"/>
      <c r="J2" s="4"/>
      <c r="K2" s="4"/>
      <c r="L2" s="4"/>
      <c r="M2" s="4"/>
      <c r="N2" s="7"/>
      <c r="O2" s="4"/>
      <c r="P2" s="4"/>
      <c r="Q2" s="4"/>
      <c r="R2" s="4"/>
      <c r="S2" s="4"/>
      <c r="T2" s="4"/>
      <c r="U2" s="4"/>
      <c r="V2" s="4"/>
      <c r="W2" s="4"/>
      <c r="X2" s="4"/>
      <c r="Y2" s="4"/>
    </row>
    <row r="3">
      <c r="A3" s="4"/>
      <c r="B3" s="4"/>
      <c r="C3" s="4"/>
      <c r="D3" s="4"/>
      <c r="E3" s="4"/>
      <c r="F3" s="4"/>
      <c r="G3" s="4"/>
      <c r="H3" s="4"/>
      <c r="I3" s="4"/>
      <c r="J3" s="4"/>
      <c r="K3" s="4"/>
      <c r="L3" s="4"/>
      <c r="M3" s="4"/>
      <c r="N3" s="7"/>
      <c r="O3" s="4"/>
      <c r="P3" s="4"/>
      <c r="Q3" s="4"/>
      <c r="R3" s="4"/>
      <c r="S3" s="4"/>
      <c r="T3" s="4"/>
      <c r="U3" s="4"/>
      <c r="V3" s="4"/>
      <c r="W3" s="4"/>
      <c r="X3" s="4"/>
      <c r="Y3" s="4"/>
    </row>
    <row r="4">
      <c r="A4" s="4" t="str">
        <f>IFERROR(__xludf.DUMMYFUNCTION("QUERY(headers)"),"Synology NAS model")</f>
        <v>Synology NAS model</v>
      </c>
      <c r="B4" s="4" t="str">
        <f>IFERROR(__xludf.DUMMYFUNCTION("""COMPUTED_VALUE"""),"DSM version")</f>
        <v>DSM version</v>
      </c>
      <c r="C4" s="4" t="str">
        <f>IFERROR(__xludf.DUMMYFUNCTION("""COMPUTED_VALUE"""),"Memory brand tested")</f>
        <v>Memory brand tested</v>
      </c>
      <c r="D4" s="4" t="str">
        <f>IFERROR(__xludf.DUMMYFUNCTION("""COMPUTED_VALUE"""),"Memory model number/product code tested")</f>
        <v>Memory model number/product code tested</v>
      </c>
      <c r="E4" s="4" t="str">
        <f>IFERROR(__xludf.DUMMYFUNCTION("""COMPUTED_VALUE"""),"Number of memory modules tested")</f>
        <v>Number of memory modules tested</v>
      </c>
      <c r="F4" s="4" t="str">
        <f>IFERROR(__xludf.DUMMYFUNCTION("""COMPUTED_VALUE"""),"Total system memory (GB)")</f>
        <v>Total system memory (GB)</v>
      </c>
      <c r="G4" s="4" t="str">
        <f>IFERROR(__xludf.DUMMYFUNCTION("""COMPUTED_VALUE"""),"Does it work?")</f>
        <v>Does it work?</v>
      </c>
      <c r="H4" s="4" t="str">
        <f>IFERROR(__xludf.DUMMYFUNCTION("""COMPUTED_VALUE"""),"Warning about unofficial memory in the UI?")</f>
        <v>Warning about unofficial memory in the UI?</v>
      </c>
      <c r="I4" s="4" t="str">
        <f>IFERROR(__xludf.DUMMYFUNCTION("""COMPUTED_VALUE"""),"Any other notes?")</f>
        <v>Any other notes?</v>
      </c>
      <c r="J4" s="4" t="str">
        <f>IFERROR(__xludf.DUMMYFUNCTION("""COMPUTED_VALUE"""),"Your Reddit, Lemmy, X, or Bluesky username")</f>
        <v>Your Reddit, Lemmy, X, or Bluesky username</v>
      </c>
      <c r="K4" s="4" t="str">
        <f>IFERROR(__xludf.DUMMYFUNCTION("""COMPUTED_VALUE"""),"Vendor Country")</f>
        <v>Vendor Country</v>
      </c>
      <c r="L4" s="4" t="str">
        <f>IFERROR(__xludf.DUMMYFUNCTION("""COMPUTED_VALUE"""),"Vendor")</f>
        <v>Vendor</v>
      </c>
      <c r="M4" s="4"/>
      <c r="N4" s="7"/>
      <c r="O4" s="4"/>
      <c r="P4" s="4"/>
      <c r="Q4" s="4"/>
      <c r="R4" s="4"/>
      <c r="S4" s="4"/>
      <c r="T4" s="4"/>
      <c r="U4" s="4"/>
      <c r="V4" s="4"/>
      <c r="W4" s="4"/>
      <c r="X4" s="4"/>
      <c r="Y4" s="4"/>
    </row>
    <row r="5" ht="15.75" customHeight="1">
      <c r="A5" s="24" t="str">
        <f>IFERROR(__xludf.DUMMYFUNCTION("UNIQUE(FILTER(data,works=""Yes"",model=A1))"),"DS923+")</f>
        <v>DS923+</v>
      </c>
      <c r="B5" s="24" t="str">
        <f>IFERROR(__xludf.DUMMYFUNCTION("""COMPUTED_VALUE"""),"7.2.1-69057 Update 3")</f>
        <v>7.2.1-69057 Update 3</v>
      </c>
      <c r="C5" s="24" t="str">
        <f>IFERROR(__xludf.DUMMYFUNCTION("""COMPUTED_VALUE"""),"Kingston")</f>
        <v>Kingston</v>
      </c>
      <c r="D5" s="24" t="str">
        <f>IFERROR(__xludf.DUMMYFUNCTION("""COMPUTED_VALUE"""),"KSM26SED8/16HD")</f>
        <v>KSM26SED8/16HD</v>
      </c>
      <c r="E5" s="24">
        <f>IFERROR(__xludf.DUMMYFUNCTION("""COMPUTED_VALUE"""),2.0)</f>
        <v>2</v>
      </c>
      <c r="F5" s="24">
        <f>IFERROR(__xludf.DUMMYFUNCTION("""COMPUTED_VALUE"""),32.0)</f>
        <v>32</v>
      </c>
      <c r="G5" s="24" t="str">
        <f>IFERROR(__xludf.DUMMYFUNCTION("""COMPUTED_VALUE"""),"Yes")</f>
        <v>Yes</v>
      </c>
      <c r="H5" s="24" t="str">
        <f>IFERROR(__xludf.DUMMYFUNCTION("""COMPUTED_VALUE"""),"Yes")</f>
        <v>Yes</v>
      </c>
      <c r="I5" s="24"/>
      <c r="J5" s="24" t="str">
        <f>IFERROR(__xludf.DUMMYFUNCTION("""COMPUTED_VALUE"""),"woieieyfwoeo")</f>
        <v>woieieyfwoeo</v>
      </c>
      <c r="K5" s="24" t="str">
        <f>IFERROR(__xludf.DUMMYFUNCTION("""COMPUTED_VALUE"""),"UK")</f>
        <v>UK</v>
      </c>
      <c r="L5" s="27" t="str">
        <f>IFERROR(__xludf.DUMMYFUNCTION("""COMPUTED_VALUE"""),"www.ballicom.co.uk")</f>
        <v>www.ballicom.co.uk</v>
      </c>
      <c r="M5" s="24"/>
      <c r="N5" s="28"/>
      <c r="O5" s="24"/>
      <c r="P5" s="24"/>
      <c r="Q5" s="24"/>
      <c r="R5" s="24"/>
      <c r="S5" s="24"/>
      <c r="T5" s="24"/>
      <c r="U5" s="24"/>
      <c r="V5" s="24"/>
      <c r="W5" s="24"/>
      <c r="X5" s="24"/>
      <c r="Y5" s="24"/>
    </row>
    <row r="6">
      <c r="A6" s="29" t="str">
        <f>IFERROR(__xludf.DUMMYFUNCTION("""COMPUTED_VALUE"""),"DS923+")</f>
        <v>DS923+</v>
      </c>
      <c r="B6" s="29"/>
      <c r="C6" s="29" t="str">
        <f>IFERROR(__xludf.DUMMYFUNCTION("""COMPUTED_VALUE"""),"Kingston")</f>
        <v>Kingston</v>
      </c>
      <c r="D6" s="29" t="str">
        <f>IFERROR(__xludf.DUMMYFUNCTION("""COMPUTED_VALUE"""),"KSM26SED8/16HD")</f>
        <v>KSM26SED8/16HD</v>
      </c>
      <c r="E6" s="29"/>
      <c r="F6" s="29"/>
      <c r="G6" s="29" t="str">
        <f>IFERROR(__xludf.DUMMYFUNCTION("""COMPUTED_VALUE"""),"Yes")</f>
        <v>Yes</v>
      </c>
      <c r="H6" s="29"/>
      <c r="I6" s="29"/>
      <c r="J6" s="29"/>
      <c r="K6" s="29"/>
      <c r="L6" s="29"/>
      <c r="N6" s="28"/>
    </row>
    <row r="7">
      <c r="A7" s="29" t="str">
        <f>IFERROR(__xludf.DUMMYFUNCTION("""COMPUTED_VALUE"""),"DS923+")</f>
        <v>DS923+</v>
      </c>
      <c r="B7" s="29" t="str">
        <f>IFERROR(__xludf.DUMMYFUNCTION("""COMPUTED_VALUE"""),"7.1.1-42962 Update 3")</f>
        <v>7.1.1-42962 Update 3</v>
      </c>
      <c r="C7" s="29" t="str">
        <f>IFERROR(__xludf.DUMMYFUNCTION("""COMPUTED_VALUE"""),"NEMIX")</f>
        <v>NEMIX</v>
      </c>
      <c r="D7" s="29" t="str">
        <f>IFERROR(__xludf.DUMMYFUNCTION("""COMPUTED_VALUE"""),"MSE21300-628K02-G")</f>
        <v>MSE21300-628K02-G</v>
      </c>
      <c r="E7" s="29">
        <f>IFERROR(__xludf.DUMMYFUNCTION("""COMPUTED_VALUE"""),2.0)</f>
        <v>2</v>
      </c>
      <c r="F7" s="29">
        <f>IFERROR(__xludf.DUMMYFUNCTION("""COMPUTED_VALUE"""),32.0)</f>
        <v>32</v>
      </c>
      <c r="G7" s="29" t="str">
        <f>IFERROR(__xludf.DUMMYFUNCTION("""COMPUTED_VALUE"""),"Yes")</f>
        <v>Yes</v>
      </c>
      <c r="H7" s="29" t="str">
        <f>IFERROR(__xludf.DUMMYFUNCTION("""COMPUTED_VALUE"""),"No")</f>
        <v>No</v>
      </c>
      <c r="I7" s="29"/>
      <c r="J7" s="29" t="str">
        <f>IFERROR(__xludf.DUMMYFUNCTION("""COMPUTED_VALUE"""),"zangieflookingmofo")</f>
        <v>zangieflookingmofo</v>
      </c>
      <c r="K7" s="29" t="str">
        <f>IFERROR(__xludf.DUMMYFUNCTION("""COMPUTED_VALUE"""),"USA")</f>
        <v>USA</v>
      </c>
      <c r="L7" s="30" t="str">
        <f>IFERROR(__xludf.DUMMYFUNCTION("""COMPUTED_VALUE"""),"amazon.com")</f>
        <v>amazon.com</v>
      </c>
      <c r="N7" s="28"/>
    </row>
    <row r="8">
      <c r="A8" s="29" t="str">
        <f>IFERROR(__xludf.DUMMYFUNCTION("""COMPUTED_VALUE"""),"DS923+")</f>
        <v>DS923+</v>
      </c>
      <c r="B8" s="29" t="str">
        <f>IFERROR(__xludf.DUMMYFUNCTION("""COMPUTED_VALUE"""),"7.1.1-42962 Update 4")</f>
        <v>7.1.1-42962 Update 4</v>
      </c>
      <c r="C8" s="29" t="str">
        <f>IFERROR(__xludf.DUMMYFUNCTION("""COMPUTED_VALUE"""),"Kingston")</f>
        <v>Kingston</v>
      </c>
      <c r="D8" s="29" t="str">
        <f>IFERROR(__xludf.DUMMYFUNCTION("""COMPUTED_VALUE"""),"KSM32SED8/32HC")</f>
        <v>KSM32SED8/32HC</v>
      </c>
      <c r="E8" s="29">
        <f>IFERROR(__xludf.DUMMYFUNCTION("""COMPUTED_VALUE"""),1.0)</f>
        <v>1</v>
      </c>
      <c r="F8" s="29">
        <f>IFERROR(__xludf.DUMMYFUNCTION("""COMPUTED_VALUE"""),36.0)</f>
        <v>36</v>
      </c>
      <c r="G8" s="29" t="str">
        <f>IFERROR(__xludf.DUMMYFUNCTION("""COMPUTED_VALUE"""),"Yes")</f>
        <v>Yes</v>
      </c>
      <c r="H8" s="29" t="str">
        <f>IFERROR(__xludf.DUMMYFUNCTION("""COMPUTED_VALUE"""),"No")</f>
        <v>No</v>
      </c>
      <c r="I8" s="29"/>
      <c r="J8" s="29" t="str">
        <f>IFERROR(__xludf.DUMMYFUNCTION("""COMPUTED_VALUE"""),"jan_marcus")</f>
        <v>jan_marcus</v>
      </c>
      <c r="K8" s="29" t="str">
        <f>IFERROR(__xludf.DUMMYFUNCTION("""COMPUTED_VALUE"""),"Germany")</f>
        <v>Germany</v>
      </c>
      <c r="L8" s="30" t="str">
        <f>IFERROR(__xludf.DUMMYFUNCTION("""COMPUTED_VALUE"""),"amazon.de")</f>
        <v>amazon.de</v>
      </c>
      <c r="N8" s="28"/>
    </row>
    <row r="9">
      <c r="A9" s="29" t="str">
        <f>IFERROR(__xludf.DUMMYFUNCTION("""COMPUTED_VALUE"""),"DS923+")</f>
        <v>DS923+</v>
      </c>
      <c r="B9" s="29" t="str">
        <f>IFERROR(__xludf.DUMMYFUNCTION("""COMPUTED_VALUE"""),"7.1.1-42962 Update 4")</f>
        <v>7.1.1-42962 Update 4</v>
      </c>
      <c r="C9" s="29" t="str">
        <f>IFERROR(__xludf.DUMMYFUNCTION("""COMPUTED_VALUE"""),"Micron")</f>
        <v>Micron</v>
      </c>
      <c r="D9" s="29" t="str">
        <f>IFERROR(__xludf.DUMMYFUNCTION("""COMPUTED_VALUE"""),"MTA18ASF2G72HZ-2G6E4R")</f>
        <v>MTA18ASF2G72HZ-2G6E4R</v>
      </c>
      <c r="E9" s="29">
        <f>IFERROR(__xludf.DUMMYFUNCTION("""COMPUTED_VALUE"""),1.0)</f>
        <v>1</v>
      </c>
      <c r="F9" s="29">
        <f>IFERROR(__xludf.DUMMYFUNCTION("""COMPUTED_VALUE"""),20.0)</f>
        <v>20</v>
      </c>
      <c r="G9" s="29" t="str">
        <f>IFERROR(__xludf.DUMMYFUNCTION("""COMPUTED_VALUE"""),"Yes")</f>
        <v>Yes</v>
      </c>
      <c r="H9" s="29" t="str">
        <f>IFERROR(__xludf.DUMMYFUNCTION("""COMPUTED_VALUE"""),"No")</f>
        <v>No</v>
      </c>
      <c r="I9" s="29"/>
      <c r="J9" s="29" t="str">
        <f>IFERROR(__xludf.DUMMYFUNCTION("""COMPUTED_VALUE"""),"Massive_Ad935")</f>
        <v>Massive_Ad935</v>
      </c>
      <c r="K9" s="29" t="str">
        <f>IFERROR(__xludf.DUMMYFUNCTION("""COMPUTED_VALUE"""),"Australia")</f>
        <v>Australia</v>
      </c>
      <c r="L9" s="29" t="str">
        <f>IFERROR(__xludf.DUMMYFUNCTION("""COMPUTED_VALUE"""),"Scorpion Technology")</f>
        <v>Scorpion Technology</v>
      </c>
      <c r="N9" s="28"/>
    </row>
    <row r="10">
      <c r="A10" s="29" t="str">
        <f>IFERROR(__xludf.DUMMYFUNCTION("""COMPUTED_VALUE"""),"DS923+")</f>
        <v>DS923+</v>
      </c>
      <c r="B10" s="29" t="str">
        <f>IFERROR(__xludf.DUMMYFUNCTION("""COMPUTED_VALUE"""),"7.1.1-42962 Update 4")</f>
        <v>7.1.1-42962 Update 4</v>
      </c>
      <c r="C10" s="29" t="str">
        <f>IFERROR(__xludf.DUMMYFUNCTION("""COMPUTED_VALUE"""),"Kingston")</f>
        <v>Kingston</v>
      </c>
      <c r="D10" s="29" t="str">
        <f>IFERROR(__xludf.DUMMYFUNCTION("""COMPUTED_VALUE"""),"KSM26SES8/8HD")</f>
        <v>KSM26SES8/8HD</v>
      </c>
      <c r="E10" s="29">
        <f>IFERROR(__xludf.DUMMYFUNCTION("""COMPUTED_VALUE"""),2.0)</f>
        <v>2</v>
      </c>
      <c r="F10" s="29">
        <f>IFERROR(__xludf.DUMMYFUNCTION("""COMPUTED_VALUE"""),16.0)</f>
        <v>16</v>
      </c>
      <c r="G10" s="29" t="str">
        <f>IFERROR(__xludf.DUMMYFUNCTION("""COMPUTED_VALUE"""),"Yes")</f>
        <v>Yes</v>
      </c>
      <c r="H10" s="29" t="str">
        <f>IFERROR(__xludf.DUMMYFUNCTION("""COMPUTED_VALUE"""),"Yes")</f>
        <v>Yes</v>
      </c>
      <c r="I10" s="29"/>
      <c r="J10" s="29" t="str">
        <f>IFERROR(__xludf.DUMMYFUNCTION("""COMPUTED_VALUE"""),"SureRock")</f>
        <v>SureRock</v>
      </c>
      <c r="K10" s="29" t="str">
        <f>IFERROR(__xludf.DUMMYFUNCTION("""COMPUTED_VALUE"""),"Sweden")</f>
        <v>Sweden</v>
      </c>
      <c r="L10" s="30" t="str">
        <f>IFERROR(__xludf.DUMMYFUNCTION("""COMPUTED_VALUE"""),"computersalg.se")</f>
        <v>computersalg.se</v>
      </c>
      <c r="N10" s="28"/>
    </row>
    <row r="11">
      <c r="A11" s="29" t="str">
        <f>IFERROR(__xludf.DUMMYFUNCTION("""COMPUTED_VALUE"""),"DS923+")</f>
        <v>DS923+</v>
      </c>
      <c r="B11" s="29" t="str">
        <f>IFERROR(__xludf.DUMMYFUNCTION("""COMPUTED_VALUE"""),"7.1.1-42962 Update 4")</f>
        <v>7.1.1-42962 Update 4</v>
      </c>
      <c r="C11" s="29" t="str">
        <f>IFERROR(__xludf.DUMMYFUNCTION("""COMPUTED_VALUE"""),"Kingston")</f>
        <v>Kingston</v>
      </c>
      <c r="D11" s="29" t="str">
        <f>IFERROR(__xludf.DUMMYFUNCTION("""COMPUTED_VALUE"""),"KSM26SED8/16MR")</f>
        <v>KSM26SED8/16MR</v>
      </c>
      <c r="E11" s="29">
        <f>IFERROR(__xludf.DUMMYFUNCTION("""COMPUTED_VALUE"""),2.0)</f>
        <v>2</v>
      </c>
      <c r="F11" s="29">
        <f>IFERROR(__xludf.DUMMYFUNCTION("""COMPUTED_VALUE"""),32.0)</f>
        <v>32</v>
      </c>
      <c r="G11" s="29" t="str">
        <f>IFERROR(__xludf.DUMMYFUNCTION("""COMPUTED_VALUE"""),"Yes")</f>
        <v>Yes</v>
      </c>
      <c r="H11" s="29" t="str">
        <f>IFERROR(__xludf.DUMMYFUNCTION("""COMPUTED_VALUE"""),"Yes")</f>
        <v>Yes</v>
      </c>
      <c r="I11" s="29" t="str">
        <f>IFERROR(__xludf.DUMMYFUNCTION("""COMPUTED_VALUE"""),"I ran the memory test 3 times (paranoia), so it definitely works. You just need to put up with the unofficial memory warning each time you reboot, but who cares! :D")</f>
        <v>I ran the memory test 3 times (paranoia), so it definitely works. You just need to put up with the unofficial memory warning each time you reboot, but who cares! :D</v>
      </c>
      <c r="J11" s="29" t="str">
        <f>IFERROR(__xludf.DUMMYFUNCTION("""COMPUTED_VALUE"""),"bagdrop")</f>
        <v>bagdrop</v>
      </c>
      <c r="K11" s="29" t="str">
        <f>IFERROR(__xludf.DUMMYFUNCTION("""COMPUTED_VALUE"""),"UK")</f>
        <v>UK</v>
      </c>
      <c r="L11" s="29" t="str">
        <f>IFERROR(__xludf.DUMMYFUNCTION("""COMPUTED_VALUE"""),"www.buykingston.co.uk (however, I don't recommend this seller due to problems with the delivery)")</f>
        <v>www.buykingston.co.uk (however, I don't recommend this seller due to problems with the delivery)</v>
      </c>
      <c r="N11" s="28"/>
    </row>
    <row r="12">
      <c r="A12" s="29" t="str">
        <f>IFERROR(__xludf.DUMMYFUNCTION("""COMPUTED_VALUE"""),"DS923+")</f>
        <v>DS923+</v>
      </c>
      <c r="B12" s="29" t="str">
        <f>IFERROR(__xludf.DUMMYFUNCTION("""COMPUTED_VALUE"""),"7.1.1-42962 Update 4")</f>
        <v>7.1.1-42962 Update 4</v>
      </c>
      <c r="C12" s="29" t="str">
        <f>IFERROR(__xludf.DUMMYFUNCTION("""COMPUTED_VALUE"""),"Crucial")</f>
        <v>Crucial</v>
      </c>
      <c r="D12" s="29" t="str">
        <f>IFERROR(__xludf.DUMMYFUNCTION("""COMPUTED_VALUE"""),"CT16G4SFD824A.C16FDD")</f>
        <v>CT16G4SFD824A.C16FDD</v>
      </c>
      <c r="E12" s="29">
        <f>IFERROR(__xludf.DUMMYFUNCTION("""COMPUTED_VALUE"""),2.0)</f>
        <v>2</v>
      </c>
      <c r="F12" s="29">
        <f>IFERROR(__xludf.DUMMYFUNCTION("""COMPUTED_VALUE"""),32.0)</f>
        <v>32</v>
      </c>
      <c r="G12" s="29" t="str">
        <f>IFERROR(__xludf.DUMMYFUNCTION("""COMPUTED_VALUE"""),"Yes")</f>
        <v>Yes</v>
      </c>
      <c r="H12" s="29" t="str">
        <f>IFERROR(__xludf.DUMMYFUNCTION("""COMPUTED_VALUE"""),"No")</f>
        <v>No</v>
      </c>
      <c r="I12" s="29"/>
      <c r="J12" s="29"/>
      <c r="K12" s="29" t="str">
        <f>IFERROR(__xludf.DUMMYFUNCTION("""COMPUTED_VALUE"""),"UK")</f>
        <v>UK</v>
      </c>
      <c r="L12" s="30" t="str">
        <f>IFERROR(__xludf.DUMMYFUNCTION("""COMPUTED_VALUE"""),"www.ballicom.co.uk")</f>
        <v>www.ballicom.co.uk</v>
      </c>
      <c r="N12" s="28"/>
    </row>
    <row r="13">
      <c r="A13" s="29" t="str">
        <f>IFERROR(__xludf.DUMMYFUNCTION("""COMPUTED_VALUE"""),"DS923+")</f>
        <v>DS923+</v>
      </c>
      <c r="B13" s="29" t="str">
        <f>IFERROR(__xludf.DUMMYFUNCTION("""COMPUTED_VALUE"""),"7.1.1-42962 Update 3")</f>
        <v>7.1.1-42962 Update 3</v>
      </c>
      <c r="C13" s="29" t="str">
        <f>IFERROR(__xludf.DUMMYFUNCTION("""COMPUTED_VALUE"""),"Kingston")</f>
        <v>Kingston</v>
      </c>
      <c r="D13" s="29" t="str">
        <f>IFERROR(__xludf.DUMMYFUNCTION("""COMPUTED_VALUE"""),"KSM26SED8/16HD")</f>
        <v>KSM26SED8/16HD</v>
      </c>
      <c r="E13" s="29">
        <f>IFERROR(__xludf.DUMMYFUNCTION("""COMPUTED_VALUE"""),1.0)</f>
        <v>1</v>
      </c>
      <c r="F13" s="29">
        <f>IFERROR(__xludf.DUMMYFUNCTION("""COMPUTED_VALUE"""),20.0)</f>
        <v>20</v>
      </c>
      <c r="G13" s="29" t="str">
        <f>IFERROR(__xludf.DUMMYFUNCTION("""COMPUTED_VALUE"""),"Yes")</f>
        <v>Yes</v>
      </c>
      <c r="H13" s="29" t="str">
        <f>IFERROR(__xludf.DUMMYFUNCTION("""COMPUTED_VALUE"""),"No")</f>
        <v>No</v>
      </c>
      <c r="I13" s="29"/>
      <c r="J13" s="29"/>
      <c r="K13" s="29" t="str">
        <f>IFERROR(__xludf.DUMMYFUNCTION("""COMPUTED_VALUE"""),"UK")</f>
        <v>UK</v>
      </c>
      <c r="L13" s="30" t="str">
        <f>IFERROR(__xludf.DUMMYFUNCTION("""COMPUTED_VALUE"""),"www.ballicom.co.uk")</f>
        <v>www.ballicom.co.uk</v>
      </c>
      <c r="N13" s="28"/>
    </row>
    <row r="14">
      <c r="A14" s="29" t="str">
        <f>IFERROR(__xludf.DUMMYFUNCTION("""COMPUTED_VALUE"""),"DS923+")</f>
        <v>DS923+</v>
      </c>
      <c r="B14" s="29" t="str">
        <f>IFERROR(__xludf.DUMMYFUNCTION("""COMPUTED_VALUE"""),"7.1.1-42962 Update 4")</f>
        <v>7.1.1-42962 Update 4</v>
      </c>
      <c r="C14" s="29" t="str">
        <f>IFERROR(__xludf.DUMMYFUNCTION("""COMPUTED_VALUE"""),"Samsung")</f>
        <v>Samsung</v>
      </c>
      <c r="D14" s="29" t="str">
        <f>IFERROR(__xludf.DUMMYFUNCTION("""COMPUTED_VALUE"""),"M471A2K43EB1-CWE")</f>
        <v>M471A2K43EB1-CWE</v>
      </c>
      <c r="E14" s="29">
        <f>IFERROR(__xludf.DUMMYFUNCTION("""COMPUTED_VALUE"""),1.0)</f>
        <v>1</v>
      </c>
      <c r="F14" s="29">
        <f>IFERROR(__xludf.DUMMYFUNCTION("""COMPUTED_VALUE"""),20.0)</f>
        <v>20</v>
      </c>
      <c r="G14" s="29" t="str">
        <f>IFERROR(__xludf.DUMMYFUNCTION("""COMPUTED_VALUE"""),"Yes")</f>
        <v>Yes</v>
      </c>
      <c r="H14" s="29" t="str">
        <f>IFERROR(__xludf.DUMMYFUNCTION("""COMPUTED_VALUE"""),"No")</f>
        <v>No</v>
      </c>
      <c r="I14" s="29" t="str">
        <f>IFERROR(__xludf.DUMMYFUNCTION("""COMPUTED_VALUE"""),"16GB 2Rx8 PC4-3200AA-SE1-11")</f>
        <v>16GB 2Rx8 PC4-3200AA-SE1-11</v>
      </c>
      <c r="J14" s="29"/>
      <c r="K14" s="29" t="str">
        <f>IFERROR(__xludf.DUMMYFUNCTION("""COMPUTED_VALUE"""),"Thailand")</f>
        <v>Thailand</v>
      </c>
      <c r="L14" s="29"/>
      <c r="N14" s="28"/>
    </row>
    <row r="15">
      <c r="A15" s="29" t="str">
        <f>IFERROR(__xludf.DUMMYFUNCTION("""COMPUTED_VALUE"""),"DS923+")</f>
        <v>DS923+</v>
      </c>
      <c r="B15" s="29" t="str">
        <f>IFERROR(__xludf.DUMMYFUNCTION("""COMPUTED_VALUE"""),"7.1.1-42962 Update 5")</f>
        <v>7.1.1-42962 Update 5</v>
      </c>
      <c r="C15" s="29" t="str">
        <f>IFERROR(__xludf.DUMMYFUNCTION("""COMPUTED_VALUE"""),"Crucial")</f>
        <v>Crucial</v>
      </c>
      <c r="D15" s="29" t="str">
        <f>IFERROR(__xludf.DUMMYFUNCTION("""COMPUTED_VALUE"""),"CT2K16G4SFD824A")</f>
        <v>CT2K16G4SFD824A</v>
      </c>
      <c r="E15" s="29">
        <f>IFERROR(__xludf.DUMMYFUNCTION("""COMPUTED_VALUE"""),2.0)</f>
        <v>2</v>
      </c>
      <c r="F15" s="29">
        <f>IFERROR(__xludf.DUMMYFUNCTION("""COMPUTED_VALUE"""),32.0)</f>
        <v>32</v>
      </c>
      <c r="G15" s="29" t="str">
        <f>IFERROR(__xludf.DUMMYFUNCTION("""COMPUTED_VALUE"""),"Yes")</f>
        <v>Yes</v>
      </c>
      <c r="H15" s="29" t="str">
        <f>IFERROR(__xludf.DUMMYFUNCTION("""COMPUTED_VALUE"""),"Yes")</f>
        <v>Yes</v>
      </c>
      <c r="I15" s="29"/>
      <c r="J15" s="29" t="str">
        <f>IFERROR(__xludf.DUMMYFUNCTION("""COMPUTED_VALUE"""),"lvalinho")</f>
        <v>lvalinho</v>
      </c>
      <c r="K15" s="29" t="str">
        <f>IFERROR(__xludf.DUMMYFUNCTION("""COMPUTED_VALUE"""),"Portugal")</f>
        <v>Portugal</v>
      </c>
      <c r="L15" s="30" t="str">
        <f>IFERROR(__xludf.DUMMYFUNCTION("""COMPUTED_VALUE"""),"chiptec.net")</f>
        <v>chiptec.net</v>
      </c>
      <c r="N15" s="28"/>
    </row>
    <row r="16">
      <c r="A16" s="29" t="str">
        <f>IFERROR(__xludf.DUMMYFUNCTION("""COMPUTED_VALUE"""),"DS923+")</f>
        <v>DS923+</v>
      </c>
      <c r="B16" s="29" t="str">
        <f>IFERROR(__xludf.DUMMYFUNCTION("""COMPUTED_VALUE"""),"7.1.1-42962 Update 5")</f>
        <v>7.1.1-42962 Update 5</v>
      </c>
      <c r="C16" s="29" t="str">
        <f>IFERROR(__xludf.DUMMYFUNCTION("""COMPUTED_VALUE"""),"Kingston")</f>
        <v>Kingston</v>
      </c>
      <c r="D16" s="29" t="str">
        <f>IFERROR(__xludf.DUMMYFUNCTION("""COMPUTED_VALUE"""),"KSM26SED8/16HD")</f>
        <v>KSM26SED8/16HD</v>
      </c>
      <c r="E16" s="29">
        <f>IFERROR(__xludf.DUMMYFUNCTION("""COMPUTED_VALUE"""),2.0)</f>
        <v>2</v>
      </c>
      <c r="F16" s="29">
        <f>IFERROR(__xludf.DUMMYFUNCTION("""COMPUTED_VALUE"""),32.0)</f>
        <v>32</v>
      </c>
      <c r="G16" s="29" t="str">
        <f>IFERROR(__xludf.DUMMYFUNCTION("""COMPUTED_VALUE"""),"Yes")</f>
        <v>Yes</v>
      </c>
      <c r="H16" s="29" t="str">
        <f>IFERROR(__xludf.DUMMYFUNCTION("""COMPUTED_VALUE"""),"Yes")</f>
        <v>Yes</v>
      </c>
      <c r="I16" s="29" t="str">
        <f>IFERROR(__xludf.DUMMYFUNCTION("""COMPUTED_VALUE"""),"Only warning on reboot as expected. Works great after that.")</f>
        <v>Only warning on reboot as expected. Works great after that.</v>
      </c>
      <c r="J16" s="29" t="str">
        <f>IFERROR(__xludf.DUMMYFUNCTION("""COMPUTED_VALUE"""),"Vmachiel")</f>
        <v>Vmachiel</v>
      </c>
      <c r="K16" s="29"/>
      <c r="L16" s="29"/>
      <c r="N16" s="28"/>
    </row>
    <row r="17">
      <c r="A17" s="29" t="str">
        <f>IFERROR(__xludf.DUMMYFUNCTION("""COMPUTED_VALUE"""),"DS923+")</f>
        <v>DS923+</v>
      </c>
      <c r="B17" s="29" t="str">
        <f>IFERROR(__xludf.DUMMYFUNCTION("""COMPUTED_VALUE"""),"7.2-64561")</f>
        <v>7.2-64561</v>
      </c>
      <c r="C17" s="29" t="str">
        <f>IFERROR(__xludf.DUMMYFUNCTION("""COMPUTED_VALUE"""),"NEMIX")</f>
        <v>NEMIX</v>
      </c>
      <c r="D17" s="29" t="str">
        <f>IFERROR(__xludf.DUMMYFUNCTION("""COMPUTED_VALUE"""),"MSE21300-628K02-G")</f>
        <v>MSE21300-628K02-G</v>
      </c>
      <c r="E17" s="29">
        <f>IFERROR(__xludf.DUMMYFUNCTION("""COMPUTED_VALUE"""),2.0)</f>
        <v>2</v>
      </c>
      <c r="F17" s="29">
        <f>IFERROR(__xludf.DUMMYFUNCTION("""COMPUTED_VALUE"""),32.0)</f>
        <v>32</v>
      </c>
      <c r="G17" s="29" t="str">
        <f>IFERROR(__xludf.DUMMYFUNCTION("""COMPUTED_VALUE"""),"Yes")</f>
        <v>Yes</v>
      </c>
      <c r="H17" s="29" t="str">
        <f>IFERROR(__xludf.DUMMYFUNCTION("""COMPUTED_VALUE"""),"No")</f>
        <v>No</v>
      </c>
      <c r="I17" s="29" t="str">
        <f>IFERROR(__xludf.DUMMYFUNCTION("""COMPUTED_VALUE"""),"Worked fine with 7.1, too. No warnings or unusual behavior.")</f>
        <v>Worked fine with 7.1, too. No warnings or unusual behavior.</v>
      </c>
      <c r="J17" s="29" t="str">
        <f>IFERROR(__xludf.DUMMYFUNCTION("""COMPUTED_VALUE"""),"/u/totallyjaded")</f>
        <v>/u/totallyjaded</v>
      </c>
      <c r="K17" s="29" t="str">
        <f>IFERROR(__xludf.DUMMYFUNCTION("""COMPUTED_VALUE"""),"USA")</f>
        <v>USA</v>
      </c>
      <c r="L17" s="30" t="str">
        <f>IFERROR(__xludf.DUMMYFUNCTION("""COMPUTED_VALUE"""),"amazon.com")</f>
        <v>amazon.com</v>
      </c>
      <c r="N17" s="28"/>
    </row>
    <row r="18">
      <c r="A18" s="29" t="str">
        <f>IFERROR(__xludf.DUMMYFUNCTION("""COMPUTED_VALUE"""),"DS923+")</f>
        <v>DS923+</v>
      </c>
      <c r="B18" s="29" t="str">
        <f>IFERROR(__xludf.DUMMYFUNCTION("""COMPUTED_VALUE"""),"7.2-64570 Update 1")</f>
        <v>7.2-64570 Update 1</v>
      </c>
      <c r="C18" s="29" t="str">
        <f>IFERROR(__xludf.DUMMYFUNCTION("""COMPUTED_VALUE"""),"Neo Forza")</f>
        <v>Neo Forza</v>
      </c>
      <c r="D18" s="29" t="str">
        <f>IFERROR(__xludf.DUMMYFUNCTION("""COMPUTED_VALUE"""),"NMES432F89-3200EA00")</f>
        <v>NMES432F89-3200EA00</v>
      </c>
      <c r="E18" s="29">
        <f>IFERROR(__xludf.DUMMYFUNCTION("""COMPUTED_VALUE"""),2.0)</f>
        <v>2</v>
      </c>
      <c r="F18" s="29">
        <f>IFERROR(__xludf.DUMMYFUNCTION("""COMPUTED_VALUE"""),36.0)</f>
        <v>36</v>
      </c>
      <c r="G18" s="29" t="str">
        <f>IFERROR(__xludf.DUMMYFUNCTION("""COMPUTED_VALUE"""),"Yes")</f>
        <v>Yes</v>
      </c>
      <c r="H18" s="29" t="str">
        <f>IFERROR(__xludf.DUMMYFUNCTION("""COMPUTED_VALUE"""),"No")</f>
        <v>No</v>
      </c>
      <c r="I18" s="29"/>
      <c r="J18" s="29"/>
      <c r="K18" s="29" t="str">
        <f>IFERROR(__xludf.DUMMYFUNCTION("""COMPUTED_VALUE"""),"Vietnam")</f>
        <v>Vietnam</v>
      </c>
      <c r="L18" s="29" t="str">
        <f>IFERROR(__xludf.DUMMYFUNCTION("""COMPUTED_VALUE"""),"EAVN")</f>
        <v>EAVN</v>
      </c>
      <c r="N18" s="28"/>
    </row>
    <row r="19">
      <c r="A19" s="29" t="str">
        <f>IFERROR(__xludf.DUMMYFUNCTION("""COMPUTED_VALUE"""),"DS923+")</f>
        <v>DS923+</v>
      </c>
      <c r="B19" s="29"/>
      <c r="C19" s="29" t="str">
        <f>IFERROR(__xludf.DUMMYFUNCTION("""COMPUTED_VALUE"""),"Kingston")</f>
        <v>Kingston</v>
      </c>
      <c r="D19" s="29" t="str">
        <f>IFERROR(__xludf.DUMMYFUNCTION("""COMPUTED_VALUE"""),"KSM26SES8/8HD")</f>
        <v>KSM26SES8/8HD</v>
      </c>
      <c r="E19" s="29">
        <f>IFERROR(__xludf.DUMMYFUNCTION("""COMPUTED_VALUE"""),2.0)</f>
        <v>2</v>
      </c>
      <c r="F19" s="29">
        <f>IFERROR(__xludf.DUMMYFUNCTION("""COMPUTED_VALUE"""),12.0)</f>
        <v>12</v>
      </c>
      <c r="G19" s="29" t="str">
        <f>IFERROR(__xludf.DUMMYFUNCTION("""COMPUTED_VALUE"""),"Yes")</f>
        <v>Yes</v>
      </c>
      <c r="H19" s="29" t="str">
        <f>IFERROR(__xludf.DUMMYFUNCTION("""COMPUTED_VALUE"""),"Yes")</f>
        <v>Yes</v>
      </c>
      <c r="I19" s="29"/>
      <c r="J19" s="29"/>
      <c r="K19" s="29"/>
      <c r="L19" s="29" t="str">
        <f>IFERROR(__xludf.DUMMYFUNCTION("""COMPUTED_VALUE"""),"Newegg")</f>
        <v>Newegg</v>
      </c>
      <c r="N19" s="28"/>
    </row>
    <row r="20">
      <c r="A20" s="29" t="str">
        <f>IFERROR(__xludf.DUMMYFUNCTION("""COMPUTED_VALUE"""),"DS923+")</f>
        <v>DS923+</v>
      </c>
      <c r="B20" s="29" t="str">
        <f>IFERROR(__xludf.DUMMYFUNCTION("""COMPUTED_VALUE"""),"7.2-64570 Update 1")</f>
        <v>7.2-64570 Update 1</v>
      </c>
      <c r="C20" s="29" t="str">
        <f>IFERROR(__xludf.DUMMYFUNCTION("""COMPUTED_VALUE"""),"NEMIX")</f>
        <v>NEMIX</v>
      </c>
      <c r="D20" s="29" t="str">
        <f>IFERROR(__xludf.DUMMYFUNCTION("""COMPUTED_VALUE"""),"MSE21300-628K02-G")</f>
        <v>MSE21300-628K02-G</v>
      </c>
      <c r="E20" s="29">
        <f>IFERROR(__xludf.DUMMYFUNCTION("""COMPUTED_VALUE"""),2.0)</f>
        <v>2</v>
      </c>
      <c r="F20" s="29">
        <f>IFERROR(__xludf.DUMMYFUNCTION("""COMPUTED_VALUE"""),32.0)</f>
        <v>32</v>
      </c>
      <c r="G20" s="29" t="str">
        <f>IFERROR(__xludf.DUMMYFUNCTION("""COMPUTED_VALUE"""),"Yes")</f>
        <v>Yes</v>
      </c>
      <c r="H20" s="29" t="str">
        <f>IFERROR(__xludf.DUMMYFUNCTION("""COMPUTED_VALUE"""),"No")</f>
        <v>No</v>
      </c>
      <c r="I20" s="29"/>
      <c r="J20" s="29" t="str">
        <f>IFERROR(__xludf.DUMMYFUNCTION("""COMPUTED_VALUE"""),"VilmarHillow")</f>
        <v>VilmarHillow</v>
      </c>
      <c r="K20" s="29" t="str">
        <f>IFERROR(__xludf.DUMMYFUNCTION("""COMPUTED_VALUE"""),"USA")</f>
        <v>USA</v>
      </c>
      <c r="L20" s="30" t="str">
        <f>IFERROR(__xludf.DUMMYFUNCTION("""COMPUTED_VALUE"""),"amazon.ca")</f>
        <v>amazon.ca</v>
      </c>
      <c r="N20" s="28"/>
    </row>
    <row r="21">
      <c r="A21" s="29" t="str">
        <f>IFERROR(__xludf.DUMMYFUNCTION("""COMPUTED_VALUE"""),"DS923+")</f>
        <v>DS923+</v>
      </c>
      <c r="B21" s="29" t="str">
        <f>IFERROR(__xludf.DUMMYFUNCTION("""COMPUTED_VALUE"""),"7.2-64570 Update 1")</f>
        <v>7.2-64570 Update 1</v>
      </c>
      <c r="C21" s="29" t="str">
        <f>IFERROR(__xludf.DUMMYFUNCTION("""COMPUTED_VALUE"""),"Crucial")</f>
        <v>Crucial</v>
      </c>
      <c r="D21" s="29" t="str">
        <f>IFERROR(__xludf.DUMMYFUNCTION("""COMPUTED_VALUE"""),"CT2K16G4SFRA32A")</f>
        <v>CT2K16G4SFRA32A</v>
      </c>
      <c r="E21" s="29">
        <f>IFERROR(__xludf.DUMMYFUNCTION("""COMPUTED_VALUE"""),2.0)</f>
        <v>2</v>
      </c>
      <c r="F21" s="29">
        <f>IFERROR(__xludf.DUMMYFUNCTION("""COMPUTED_VALUE"""),32.0)</f>
        <v>32</v>
      </c>
      <c r="G21" s="29" t="str">
        <f>IFERROR(__xludf.DUMMYFUNCTION("""COMPUTED_VALUE"""),"Yes")</f>
        <v>Yes</v>
      </c>
      <c r="H21" s="29" t="str">
        <f>IFERROR(__xludf.DUMMYFUNCTION("""COMPUTED_VALUE"""),"No")</f>
        <v>No</v>
      </c>
      <c r="I21" s="29"/>
      <c r="J21" s="29" t="str">
        <f>IFERROR(__xludf.DUMMYFUNCTION("""COMPUTED_VALUE"""),"LeviathanTech")</f>
        <v>LeviathanTech</v>
      </c>
      <c r="K21" s="29" t="str">
        <f>IFERROR(__xludf.DUMMYFUNCTION("""COMPUTED_VALUE"""),"USA")</f>
        <v>USA</v>
      </c>
      <c r="L21" s="30" t="str">
        <f>IFERROR(__xludf.DUMMYFUNCTION("""COMPUTED_VALUE"""),"amazon.com")</f>
        <v>amazon.com</v>
      </c>
      <c r="N21" s="28"/>
    </row>
    <row r="22">
      <c r="A22" s="29" t="str">
        <f>IFERROR(__xludf.DUMMYFUNCTION("""COMPUTED_VALUE"""),"DS923+")</f>
        <v>DS923+</v>
      </c>
      <c r="B22" s="29" t="str">
        <f>IFERROR(__xludf.DUMMYFUNCTION("""COMPUTED_VALUE"""),"7.2-64570 Update 1")</f>
        <v>7.2-64570 Update 1</v>
      </c>
      <c r="C22" s="29" t="str">
        <f>IFERROR(__xludf.DUMMYFUNCTION("""COMPUTED_VALUE"""),"Crucial")</f>
        <v>Crucial</v>
      </c>
      <c r="D22" s="29" t="str">
        <f>IFERROR(__xludf.DUMMYFUNCTION("""COMPUTED_VALUE"""),"CT2K16G4SFRA32A")</f>
        <v>CT2K16G4SFRA32A</v>
      </c>
      <c r="E22" s="29">
        <f>IFERROR(__xludf.DUMMYFUNCTION("""COMPUTED_VALUE"""),2.0)</f>
        <v>2</v>
      </c>
      <c r="F22" s="29">
        <f>IFERROR(__xludf.DUMMYFUNCTION("""COMPUTED_VALUE"""),4.0)</f>
        <v>4</v>
      </c>
      <c r="G22" s="29" t="str">
        <f>IFERROR(__xludf.DUMMYFUNCTION("""COMPUTED_VALUE"""),"Yes")</f>
        <v>Yes</v>
      </c>
      <c r="H22" s="29" t="str">
        <f>IFERROR(__xludf.DUMMYFUNCTION("""COMPUTED_VALUE"""),"No")</f>
        <v>No</v>
      </c>
      <c r="I22" s="29"/>
      <c r="J22" s="29" t="str">
        <f>IFERROR(__xludf.DUMMYFUNCTION("""COMPUTED_VALUE"""),"ChBrBrown")</f>
        <v>ChBrBrown</v>
      </c>
      <c r="K22" s="29" t="str">
        <f>IFERROR(__xludf.DUMMYFUNCTION("""COMPUTED_VALUE"""),"USA")</f>
        <v>USA</v>
      </c>
      <c r="L22" s="30" t="str">
        <f>IFERROR(__xludf.DUMMYFUNCTION("""COMPUTED_VALUE"""),"amazon.com")</f>
        <v>amazon.com</v>
      </c>
      <c r="N22" s="28"/>
    </row>
    <row r="23">
      <c r="A23" s="29" t="str">
        <f>IFERROR(__xludf.DUMMYFUNCTION("""COMPUTED_VALUE"""),"DS923+")</f>
        <v>DS923+</v>
      </c>
      <c r="B23" s="29" t="str">
        <f>IFERROR(__xludf.DUMMYFUNCTION("""COMPUTED_VALUE"""),"7.2-64570 Update 3")</f>
        <v>7.2-64570 Update 3</v>
      </c>
      <c r="C23" s="29" t="str">
        <f>IFERROR(__xludf.DUMMYFUNCTION("""COMPUTED_VALUE"""),"Crucial")</f>
        <v>Crucial</v>
      </c>
      <c r="D23" s="29" t="str">
        <f>IFERROR(__xludf.DUMMYFUNCTION("""COMPUTED_VALUE"""),"9ASF2G72HZ-3G2F1")</f>
        <v>9ASF2G72HZ-3G2F1</v>
      </c>
      <c r="E23" s="29">
        <f>IFERROR(__xludf.DUMMYFUNCTION("""COMPUTED_VALUE"""),2.0)</f>
        <v>2</v>
      </c>
      <c r="F23" s="29">
        <f>IFERROR(__xludf.DUMMYFUNCTION("""COMPUTED_VALUE"""),32.0)</f>
        <v>32</v>
      </c>
      <c r="G23" s="29" t="str">
        <f>IFERROR(__xludf.DUMMYFUNCTION("""COMPUTED_VALUE"""),"Yes")</f>
        <v>Yes</v>
      </c>
      <c r="H23" s="29" t="str">
        <f>IFERROR(__xludf.DUMMYFUNCTION("""COMPUTED_VALUE"""),"No")</f>
        <v>No</v>
      </c>
      <c r="I23" s="29" t="str">
        <f>IFERROR(__xludf.DUMMYFUNCTION("""COMPUTED_VALUE"""),"Rated as 3200 but runs at 2400 MT/s, not 2667.")</f>
        <v>Rated as 3200 but runs at 2400 MT/s, not 2667.</v>
      </c>
      <c r="J23" s="29" t="str">
        <f>IFERROR(__xludf.DUMMYFUNCTION("""COMPUTED_VALUE"""),"totallyjaded")</f>
        <v>totallyjaded</v>
      </c>
      <c r="K23" s="29" t="str">
        <f>IFERROR(__xludf.DUMMYFUNCTION("""COMPUTED_VALUE"""),"USA")</f>
        <v>USA</v>
      </c>
      <c r="L23" s="30" t="str">
        <f>IFERROR(__xludf.DUMMYFUNCTION("""COMPUTED_VALUE"""),"Crucial.com")</f>
        <v>Crucial.com</v>
      </c>
      <c r="N23" s="28"/>
    </row>
    <row r="24">
      <c r="A24" s="29" t="str">
        <f>IFERROR(__xludf.DUMMYFUNCTION("""COMPUTED_VALUE"""),"DS923+")</f>
        <v>DS923+</v>
      </c>
      <c r="B24" s="29" t="str">
        <f>IFERROR(__xludf.DUMMYFUNCTION("""COMPUTED_VALUE"""),"7.1.1-42962 Update")</f>
        <v>7.1.1-42962 Update</v>
      </c>
      <c r="C24" s="29" t="str">
        <f>IFERROR(__xludf.DUMMYFUNCTION("""COMPUTED_VALUE"""),"teamgroup")</f>
        <v>teamgroup</v>
      </c>
      <c r="D24" s="29" t="str">
        <f>IFERROR(__xludf.DUMMYFUNCTION("""COMPUTED_VALUE"""),"TTZD432G3200HC22DC-S01")</f>
        <v>TTZD432G3200HC22DC-S01</v>
      </c>
      <c r="E24" s="29">
        <f>IFERROR(__xludf.DUMMYFUNCTION("""COMPUTED_VALUE"""),2.0)</f>
        <v>2</v>
      </c>
      <c r="F24" s="29">
        <f>IFERROR(__xludf.DUMMYFUNCTION("""COMPUTED_VALUE"""),32.0)</f>
        <v>32</v>
      </c>
      <c r="G24" s="29" t="str">
        <f>IFERROR(__xludf.DUMMYFUNCTION("""COMPUTED_VALUE"""),"Yes")</f>
        <v>Yes</v>
      </c>
      <c r="H24" s="29" t="str">
        <f>IFERROR(__xludf.DUMMYFUNCTION("""COMPUTED_VALUE"""),"No")</f>
        <v>No</v>
      </c>
      <c r="I24" s="29"/>
      <c r="J24" s="29" t="str">
        <f>IFERROR(__xludf.DUMMYFUNCTION("""COMPUTED_VALUE"""),"sfx_guy")</f>
        <v>sfx_guy</v>
      </c>
      <c r="K24" s="29"/>
      <c r="L24" s="29" t="str">
        <f>IFERROR(__xludf.DUMMYFUNCTION("""COMPUTED_VALUE"""),"amazon")</f>
        <v>amazon</v>
      </c>
      <c r="N24" s="28"/>
    </row>
    <row r="25">
      <c r="A25" s="29" t="str">
        <f>IFERROR(__xludf.DUMMYFUNCTION("""COMPUTED_VALUE"""),"DS923+")</f>
        <v>DS923+</v>
      </c>
      <c r="B25" s="29" t="str">
        <f>IFERROR(__xludf.DUMMYFUNCTION("""COMPUTED_VALUE"""),"7.2-64570 Update 3")</f>
        <v>7.2-64570 Update 3</v>
      </c>
      <c r="C25" s="29" t="str">
        <f>IFERROR(__xludf.DUMMYFUNCTION("""COMPUTED_VALUE"""),"Crucial")</f>
        <v>Crucial</v>
      </c>
      <c r="D25" s="29" t="str">
        <f>IFERROR(__xludf.DUMMYFUNCTION("""COMPUTED_VALUE"""),"CT16G4SFRA32A.C16FP")</f>
        <v>CT16G4SFRA32A.C16FP</v>
      </c>
      <c r="E25" s="29">
        <f>IFERROR(__xludf.DUMMYFUNCTION("""COMPUTED_VALUE"""),2.0)</f>
        <v>2</v>
      </c>
      <c r="F25" s="29">
        <f>IFERROR(__xludf.DUMMYFUNCTION("""COMPUTED_VALUE"""),32.0)</f>
        <v>32</v>
      </c>
      <c r="G25" s="29" t="str">
        <f>IFERROR(__xludf.DUMMYFUNCTION("""COMPUTED_VALUE"""),"Yes")</f>
        <v>Yes</v>
      </c>
      <c r="H25" s="29" t="str">
        <f>IFERROR(__xludf.DUMMYFUNCTION("""COMPUTED_VALUE"""),"No")</f>
        <v>No</v>
      </c>
      <c r="I25" s="29" t="str">
        <f>IFERROR(__xludf.DUMMYFUNCTION("""COMPUTED_VALUE"""),"installed and booted fine. Have run memory test 2 times with no errors.")</f>
        <v>installed and booted fine. Have run memory test 2 times with no errors.</v>
      </c>
      <c r="J25" s="29" t="str">
        <f>IFERROR(__xludf.DUMMYFUNCTION("""COMPUTED_VALUE"""),"bessiemucho")</f>
        <v>bessiemucho</v>
      </c>
      <c r="K25" s="29" t="str">
        <f>IFERROR(__xludf.DUMMYFUNCTION("""COMPUTED_VALUE"""),"USA")</f>
        <v>USA</v>
      </c>
      <c r="L25" s="29" t="str">
        <f>IFERROR(__xludf.DUMMYFUNCTION("""COMPUTED_VALUE"""),"Amazon")</f>
        <v>Amazon</v>
      </c>
      <c r="N25" s="28"/>
    </row>
    <row r="26">
      <c r="A26" s="29" t="str">
        <f>IFERROR(__xludf.DUMMYFUNCTION("""COMPUTED_VALUE"""),"DS923+")</f>
        <v>DS923+</v>
      </c>
      <c r="B26" s="29" t="str">
        <f>IFERROR(__xludf.DUMMYFUNCTION("""COMPUTED_VALUE"""),"7.2-64570 Update 3")</f>
        <v>7.2-64570 Update 3</v>
      </c>
      <c r="C26" s="29" t="str">
        <f>IFERROR(__xludf.DUMMYFUNCTION("""COMPUTED_VALUE"""),"Kingston")</f>
        <v>Kingston</v>
      </c>
      <c r="D26" s="29" t="str">
        <f>IFERROR(__xludf.DUMMYFUNCTION("""COMPUTED_VALUE"""),"KSM26SES8/16HC")</f>
        <v>KSM26SES8/16HC</v>
      </c>
      <c r="E26" s="29">
        <f>IFERROR(__xludf.DUMMYFUNCTION("""COMPUTED_VALUE"""),2.0)</f>
        <v>2</v>
      </c>
      <c r="F26" s="29">
        <f>IFERROR(__xludf.DUMMYFUNCTION("""COMPUTED_VALUE"""),32.0)</f>
        <v>32</v>
      </c>
      <c r="G26" s="29" t="str">
        <f>IFERROR(__xludf.DUMMYFUNCTION("""COMPUTED_VALUE"""),"Yes")</f>
        <v>Yes</v>
      </c>
      <c r="H26" s="29" t="str">
        <f>IFERROR(__xludf.DUMMYFUNCTION("""COMPUTED_VALUE"""),"Yes")</f>
        <v>Yes</v>
      </c>
      <c r="I26" s="29"/>
      <c r="J26" s="29"/>
      <c r="K26" s="29"/>
      <c r="L26" s="29"/>
      <c r="N26" s="28"/>
    </row>
    <row r="27">
      <c r="A27" s="29" t="str">
        <f>IFERROR(__xludf.DUMMYFUNCTION("""COMPUTED_VALUE"""),"DS923+")</f>
        <v>DS923+</v>
      </c>
      <c r="B27" s="29" t="str">
        <f>IFERROR(__xludf.DUMMYFUNCTION("""COMPUTED_VALUE"""),"7.2-64570 Update 3")</f>
        <v>7.2-64570 Update 3</v>
      </c>
      <c r="C27" s="29" t="str">
        <f>IFERROR(__xludf.DUMMYFUNCTION("""COMPUTED_VALUE"""),"Crucial")</f>
        <v>Crucial</v>
      </c>
      <c r="D27" s="29" t="str">
        <f>IFERROR(__xludf.DUMMYFUNCTION("""COMPUTED_VALUE"""),"CT8G4SFRA32A")</f>
        <v>CT8G4SFRA32A</v>
      </c>
      <c r="E27" s="29">
        <f>IFERROR(__xludf.DUMMYFUNCTION("""COMPUTED_VALUE"""),1.0)</f>
        <v>1</v>
      </c>
      <c r="F27" s="29">
        <f>IFERROR(__xludf.DUMMYFUNCTION("""COMPUTED_VALUE"""),12.0)</f>
        <v>12</v>
      </c>
      <c r="G27" s="29" t="str">
        <f>IFERROR(__xludf.DUMMYFUNCTION("""COMPUTED_VALUE"""),"Yes")</f>
        <v>Yes</v>
      </c>
      <c r="H27" s="29" t="str">
        <f>IFERROR(__xludf.DUMMYFUNCTION("""COMPUTED_VALUE"""),"No")</f>
        <v>No</v>
      </c>
      <c r="I27" s="29"/>
      <c r="J27" s="29"/>
      <c r="K27" s="29"/>
      <c r="L27" s="29"/>
      <c r="N27" s="28"/>
    </row>
    <row r="28">
      <c r="A28" s="29" t="str">
        <f>IFERROR(__xludf.DUMMYFUNCTION("""COMPUTED_VALUE"""),"DS923+")</f>
        <v>DS923+</v>
      </c>
      <c r="B28" s="29" t="str">
        <f>IFERROR(__xludf.DUMMYFUNCTION("""COMPUTED_VALUE"""),"7.2-64570 Update 3")</f>
        <v>7.2-64570 Update 3</v>
      </c>
      <c r="C28" s="29" t="str">
        <f>IFERROR(__xludf.DUMMYFUNCTION("""COMPUTED_VALUE"""),"SK Hynix")</f>
        <v>SK Hynix</v>
      </c>
      <c r="D28" s="29" t="str">
        <f>IFERROR(__xludf.DUMMYFUNCTION("""COMPUTED_VALUE"""),"HMA82GS6AFR8N-UH")</f>
        <v>HMA82GS6AFR8N-UH</v>
      </c>
      <c r="E28" s="29">
        <f>IFERROR(__xludf.DUMMYFUNCTION("""COMPUTED_VALUE"""),2.0)</f>
        <v>2</v>
      </c>
      <c r="F28" s="29">
        <f>IFERROR(__xludf.DUMMYFUNCTION("""COMPUTED_VALUE"""),32.0)</f>
        <v>32</v>
      </c>
      <c r="G28" s="29" t="str">
        <f>IFERROR(__xludf.DUMMYFUNCTION("""COMPUTED_VALUE"""),"Yes")</f>
        <v>Yes</v>
      </c>
      <c r="H28" s="29" t="str">
        <f>IFERROR(__xludf.DUMMYFUNCTION("""COMPUTED_VALUE"""),"No")</f>
        <v>No</v>
      </c>
      <c r="I28" s="29"/>
      <c r="J28" s="29"/>
      <c r="K28" s="29" t="str">
        <f>IFERROR(__xludf.DUMMYFUNCTION("""COMPUTED_VALUE"""),"Poland")</f>
        <v>Poland</v>
      </c>
      <c r="L28" s="29" t="str">
        <f>IFERROR(__xludf.DUMMYFUNCTION("""COMPUTED_VALUE"""),"X-kom")</f>
        <v>X-kom</v>
      </c>
      <c r="N28" s="28"/>
    </row>
    <row r="29">
      <c r="A29" s="29" t="str">
        <f>IFERROR(__xludf.DUMMYFUNCTION("""COMPUTED_VALUE"""),"DS923+")</f>
        <v>DS923+</v>
      </c>
      <c r="B29" s="29" t="str">
        <f>IFERROR(__xludf.DUMMYFUNCTION("""COMPUTED_VALUE"""),"7.2-64570 Update 3")</f>
        <v>7.2-64570 Update 3</v>
      </c>
      <c r="C29" s="29" t="str">
        <f>IFERROR(__xludf.DUMMYFUNCTION("""COMPUTED_VALUE"""),"GoodRam")</f>
        <v>GoodRam</v>
      </c>
      <c r="D29" s="29" t="str">
        <f>IFERROR(__xludf.DUMMYFUNCTION("""COMPUTED_VALUE"""),"GR3200S464L22/16G")</f>
        <v>GR3200S464L22/16G</v>
      </c>
      <c r="E29" s="29">
        <f>IFERROR(__xludf.DUMMYFUNCTION("""COMPUTED_VALUE"""),2.0)</f>
        <v>2</v>
      </c>
      <c r="F29" s="29">
        <f>IFERROR(__xludf.DUMMYFUNCTION("""COMPUTED_VALUE"""),32.0)</f>
        <v>32</v>
      </c>
      <c r="G29" s="29" t="str">
        <f>IFERROR(__xludf.DUMMYFUNCTION("""COMPUTED_VALUE"""),"Yes")</f>
        <v>Yes</v>
      </c>
      <c r="H29" s="29" t="str">
        <f>IFERROR(__xludf.DUMMYFUNCTION("""COMPUTED_VALUE"""),"No")</f>
        <v>No</v>
      </c>
      <c r="I29" s="29"/>
      <c r="J29" s="29"/>
      <c r="K29" s="29" t="str">
        <f>IFERROR(__xludf.DUMMYFUNCTION("""COMPUTED_VALUE"""),"Poland")</f>
        <v>Poland</v>
      </c>
      <c r="L29" s="30" t="str">
        <f>IFERROR(__xludf.DUMMYFUNCTION("""COMPUTED_VALUE"""),"Allegro.pl")</f>
        <v>Allegro.pl</v>
      </c>
      <c r="N29" s="28"/>
    </row>
    <row r="30">
      <c r="A30" s="29" t="str">
        <f>IFERROR(__xludf.DUMMYFUNCTION("""COMPUTED_VALUE"""),"DS923+")</f>
        <v>DS923+</v>
      </c>
      <c r="B30" s="29" t="str">
        <f>IFERROR(__xludf.DUMMYFUNCTION("""COMPUTED_VALUE"""),"7.2.1-69057 Update 1")</f>
        <v>7.2.1-69057 Update 1</v>
      </c>
      <c r="C30" s="29" t="str">
        <f>IFERROR(__xludf.DUMMYFUNCTION("""COMPUTED_VALUE"""),"Kingston")</f>
        <v>Kingston</v>
      </c>
      <c r="D30" s="29" t="str">
        <f>IFERROR(__xludf.DUMMYFUNCTION("""COMPUTED_VALUE"""),"KF2666C15S4/8G")</f>
        <v>KF2666C15S4/8G</v>
      </c>
      <c r="E30" s="29">
        <f>IFERROR(__xludf.DUMMYFUNCTION("""COMPUTED_VALUE"""),2.0)</f>
        <v>2</v>
      </c>
      <c r="F30" s="29">
        <f>IFERROR(__xludf.DUMMYFUNCTION("""COMPUTED_VALUE"""),16.0)</f>
        <v>16</v>
      </c>
      <c r="G30" s="29" t="str">
        <f>IFERROR(__xludf.DUMMYFUNCTION("""COMPUTED_VALUE"""),"Yes")</f>
        <v>Yes</v>
      </c>
      <c r="H30" s="29" t="str">
        <f>IFERROR(__xludf.DUMMYFUNCTION("""COMPUTED_VALUE"""),"Yes")</f>
        <v>Yes</v>
      </c>
      <c r="I30" s="29"/>
      <c r="J30" s="29"/>
      <c r="K30" s="29" t="str">
        <f>IFERROR(__xludf.DUMMYFUNCTION("""COMPUTED_VALUE"""),"Italy")</f>
        <v>Italy</v>
      </c>
      <c r="L30" s="29" t="str">
        <f>IFERROR(__xludf.DUMMYFUNCTION("""COMPUTED_VALUE"""),"Amazon")</f>
        <v>Amazon</v>
      </c>
      <c r="N30" s="28"/>
    </row>
    <row r="31">
      <c r="A31" s="29" t="str">
        <f>IFERROR(__xludf.DUMMYFUNCTION("""COMPUTED_VALUE"""),"DS923+")</f>
        <v>DS923+</v>
      </c>
      <c r="B31" s="29" t="str">
        <f>IFERROR(__xludf.DUMMYFUNCTION("""COMPUTED_VALUE"""),"7.2.1-69057 Update 2")</f>
        <v>7.2.1-69057 Update 2</v>
      </c>
      <c r="C31" s="29" t="str">
        <f>IFERROR(__xludf.DUMMYFUNCTION("""COMPUTED_VALUE"""),"Kingston")</f>
        <v>Kingston</v>
      </c>
      <c r="D31" s="29" t="str">
        <f>IFERROR(__xludf.DUMMYFUNCTION("""COMPUTED_VALUE"""),"KSM32SED8/16HD")</f>
        <v>KSM32SED8/16HD</v>
      </c>
      <c r="E31" s="29">
        <f>IFERROR(__xludf.DUMMYFUNCTION("""COMPUTED_VALUE"""),2.0)</f>
        <v>2</v>
      </c>
      <c r="F31" s="29">
        <f>IFERROR(__xludf.DUMMYFUNCTION("""COMPUTED_VALUE"""),32.0)</f>
        <v>32</v>
      </c>
      <c r="G31" s="29" t="str">
        <f>IFERROR(__xludf.DUMMYFUNCTION("""COMPUTED_VALUE"""),"Yes")</f>
        <v>Yes</v>
      </c>
      <c r="H31" s="29" t="str">
        <f>IFERROR(__xludf.DUMMYFUNCTION("""COMPUTED_VALUE"""),"No")</f>
        <v>No</v>
      </c>
      <c r="I31" s="29"/>
      <c r="J31" s="29" t="str">
        <f>IFERROR(__xludf.DUMMYFUNCTION("""COMPUTED_VALUE"""),"dagobert0815")</f>
        <v>dagobert0815</v>
      </c>
      <c r="K31" s="29" t="str">
        <f>IFERROR(__xludf.DUMMYFUNCTION("""COMPUTED_VALUE"""),"Germany")</f>
        <v>Germany</v>
      </c>
      <c r="L31" s="30" t="str">
        <f>IFERROR(__xludf.DUMMYFUNCTION("""COMPUTED_VALUE"""),"www.csv.de")</f>
        <v>www.csv.de</v>
      </c>
      <c r="N31" s="28"/>
    </row>
    <row r="32">
      <c r="A32" s="29" t="str">
        <f>IFERROR(__xludf.DUMMYFUNCTION("""COMPUTED_VALUE"""),"DS923+")</f>
        <v>DS923+</v>
      </c>
      <c r="B32" s="29" t="str">
        <f>IFERROR(__xludf.DUMMYFUNCTION("""COMPUTED_VALUE"""),"7.2.1-69057 Update 3")</f>
        <v>7.2.1-69057 Update 3</v>
      </c>
      <c r="C32" s="29" t="str">
        <f>IFERROR(__xludf.DUMMYFUNCTION("""COMPUTED_VALUE"""),"Crucial")</f>
        <v>Crucial</v>
      </c>
      <c r="D32" s="29" t="str">
        <f>IFERROR(__xludf.DUMMYFUNCTION("""COMPUTED_VALUE"""),"CT2K16G4SFRA32A")</f>
        <v>CT2K16G4SFRA32A</v>
      </c>
      <c r="E32" s="29">
        <f>IFERROR(__xludf.DUMMYFUNCTION("""COMPUTED_VALUE"""),2.0)</f>
        <v>2</v>
      </c>
      <c r="F32" s="29">
        <f>IFERROR(__xludf.DUMMYFUNCTION("""COMPUTED_VALUE"""),32.0)</f>
        <v>32</v>
      </c>
      <c r="G32" s="29" t="str">
        <f>IFERROR(__xludf.DUMMYFUNCTION("""COMPUTED_VALUE"""),"Yes")</f>
        <v>Yes</v>
      </c>
      <c r="H32" s="29" t="str">
        <f>IFERROR(__xludf.DUMMYFUNCTION("""COMPUTED_VALUE"""),"No")</f>
        <v>No</v>
      </c>
      <c r="I32" s="29"/>
      <c r="J32" s="29"/>
      <c r="K32" s="29" t="str">
        <f>IFERROR(__xludf.DUMMYFUNCTION("""COMPUTED_VALUE"""),"Netherlands")</f>
        <v>Netherlands</v>
      </c>
      <c r="L32" s="30" t="str">
        <f>IFERROR(__xludf.DUMMYFUNCTION("""COMPUTED_VALUE"""),"megekko.nl")</f>
        <v>megekko.nl</v>
      </c>
      <c r="N32" s="28"/>
    </row>
    <row r="33">
      <c r="A33" s="29" t="str">
        <f>IFERROR(__xludf.DUMMYFUNCTION("""COMPUTED_VALUE"""),"DS923+")</f>
        <v>DS923+</v>
      </c>
      <c r="B33" s="29" t="str">
        <f>IFERROR(__xludf.DUMMYFUNCTION("""COMPUTED_VALUE"""),"7.2.1-69057 Update 3")</f>
        <v>7.2.1-69057 Update 3</v>
      </c>
      <c r="C33" s="29" t="str">
        <f>IFERROR(__xludf.DUMMYFUNCTION("""COMPUTED_VALUE"""),"Kingston")</f>
        <v>Kingston</v>
      </c>
      <c r="D33" s="29" t="str">
        <f>IFERROR(__xludf.DUMMYFUNCTION("""COMPUTED_VALUE"""),"KSM26SED8/16HD")</f>
        <v>KSM26SED8/16HD</v>
      </c>
      <c r="E33" s="29">
        <f>IFERROR(__xludf.DUMMYFUNCTION("""COMPUTED_VALUE"""),1.0)</f>
        <v>1</v>
      </c>
      <c r="F33" s="29">
        <f>IFERROR(__xludf.DUMMYFUNCTION("""COMPUTED_VALUE"""),20.0)</f>
        <v>20</v>
      </c>
      <c r="G33" s="29" t="str">
        <f>IFERROR(__xludf.DUMMYFUNCTION("""COMPUTED_VALUE"""),"Yes")</f>
        <v>Yes</v>
      </c>
      <c r="H33" s="29" t="str">
        <f>IFERROR(__xludf.DUMMYFUNCTION("""COMPUTED_VALUE"""),"No")</f>
        <v>No</v>
      </c>
      <c r="I33" s="29"/>
      <c r="J33" s="29"/>
      <c r="K33" s="29" t="str">
        <f>IFERROR(__xludf.DUMMYFUNCTION("""COMPUTED_VALUE"""),"Hungary")</f>
        <v>Hungary</v>
      </c>
      <c r="L33" s="29"/>
      <c r="N33" s="28"/>
    </row>
    <row r="34">
      <c r="A34" s="29" t="str">
        <f>IFERROR(__xludf.DUMMYFUNCTION("""COMPUTED_VALUE"""),"DS923+")</f>
        <v>DS923+</v>
      </c>
      <c r="B34" s="29" t="str">
        <f>IFERROR(__xludf.DUMMYFUNCTION("""COMPUTED_VALUE"""),"7.2.1-69057 Update 3")</f>
        <v>7.2.1-69057 Update 3</v>
      </c>
      <c r="C34" s="29" t="str">
        <f>IFERROR(__xludf.DUMMYFUNCTION("""COMPUTED_VALUE"""),"NEMIX")</f>
        <v>NEMIX</v>
      </c>
      <c r="D34" s="29" t="str">
        <f>IFERROR(__xludf.DUMMYFUNCTION("""COMPUTED_VALUE"""),"MSE21300-628K02-G")</f>
        <v>MSE21300-628K02-G</v>
      </c>
      <c r="E34" s="29">
        <f>IFERROR(__xludf.DUMMYFUNCTION("""COMPUTED_VALUE"""),2.0)</f>
        <v>2</v>
      </c>
      <c r="F34" s="29">
        <f>IFERROR(__xludf.DUMMYFUNCTION("""COMPUTED_VALUE"""),32.0)</f>
        <v>32</v>
      </c>
      <c r="G34" s="29" t="str">
        <f>IFERROR(__xludf.DUMMYFUNCTION("""COMPUTED_VALUE"""),"Yes")</f>
        <v>Yes</v>
      </c>
      <c r="H34" s="29" t="str">
        <f>IFERROR(__xludf.DUMMYFUNCTION("""COMPUTED_VALUE"""),"No")</f>
        <v>No</v>
      </c>
      <c r="I34" s="29"/>
      <c r="J34" s="29" t="str">
        <f>IFERROR(__xludf.DUMMYFUNCTION("""COMPUTED_VALUE"""),"pete7863")</f>
        <v>pete7863</v>
      </c>
      <c r="K34" s="29" t="str">
        <f>IFERROR(__xludf.DUMMYFUNCTION("""COMPUTED_VALUE"""),"USA")</f>
        <v>USA</v>
      </c>
      <c r="L34" s="30" t="str">
        <f>IFERROR(__xludf.DUMMYFUNCTION("""COMPUTED_VALUE"""),"amazon.com")</f>
        <v>amazon.com</v>
      </c>
      <c r="N34" s="28"/>
    </row>
    <row r="35">
      <c r="A35" s="29" t="str">
        <f>IFERROR(__xludf.DUMMYFUNCTION("""COMPUTED_VALUE"""),"DS923+")</f>
        <v>DS923+</v>
      </c>
      <c r="B35" s="29" t="str">
        <f>IFERROR(__xludf.DUMMYFUNCTION("""COMPUTED_VALUE"""),"7.2.1-69057 Update 3")</f>
        <v>7.2.1-69057 Update 3</v>
      </c>
      <c r="C35" s="29" t="str">
        <f>IFERROR(__xludf.DUMMYFUNCTION("""COMPUTED_VALUE"""),"Samsung")</f>
        <v>Samsung</v>
      </c>
      <c r="D35" s="29" t="str">
        <f>IFERROR(__xludf.DUMMYFUNCTION("""COMPUTED_VALUE"""),"M474A2K43DB1-CVFQ")</f>
        <v>M474A2K43DB1-CVFQ</v>
      </c>
      <c r="E35" s="29">
        <f>IFERROR(__xludf.DUMMYFUNCTION("""COMPUTED_VALUE"""),2.0)</f>
        <v>2</v>
      </c>
      <c r="F35" s="29">
        <f>IFERROR(__xludf.DUMMYFUNCTION("""COMPUTED_VALUE"""),32.0)</f>
        <v>32</v>
      </c>
      <c r="G35" s="29" t="str">
        <f>IFERROR(__xludf.DUMMYFUNCTION("""COMPUTED_VALUE"""),"Yes")</f>
        <v>Yes</v>
      </c>
      <c r="H35" s="29" t="str">
        <f>IFERROR(__xludf.DUMMYFUNCTION("""COMPUTED_VALUE"""),"No")</f>
        <v>No</v>
      </c>
      <c r="I35" s="29" t="str">
        <f>IFERROR(__xludf.DUMMYFUNCTION("""COMPUTED_VALUE"""),"No issues, full RAM test performed without issues.")</f>
        <v>No issues, full RAM test performed without issues.</v>
      </c>
      <c r="J35" s="29" t="str">
        <f>IFERROR(__xludf.DUMMYFUNCTION("""COMPUTED_VALUE"""),"emc2cube")</f>
        <v>emc2cube</v>
      </c>
      <c r="K35" s="29" t="str">
        <f>IFERROR(__xludf.DUMMYFUNCTION("""COMPUTED_VALUE"""),"USA")</f>
        <v>USA</v>
      </c>
      <c r="L35" s="30" t="str">
        <f>IFERROR(__xludf.DUMMYFUNCTION("""COMPUTED_VALUE"""),"ebay.com")</f>
        <v>ebay.com</v>
      </c>
      <c r="N35" s="28"/>
    </row>
    <row r="36">
      <c r="A36" s="29" t="str">
        <f>IFERROR(__xludf.DUMMYFUNCTION("""COMPUTED_VALUE"""),"DS923+")</f>
        <v>DS923+</v>
      </c>
      <c r="B36" s="29" t="str">
        <f>IFERROR(__xludf.DUMMYFUNCTION("""COMPUTED_VALUE"""),"7.2.1-69057 update 2")</f>
        <v>7.2.1-69057 update 2</v>
      </c>
      <c r="C36" s="29" t="str">
        <f>IFERROR(__xludf.DUMMYFUNCTION("""COMPUTED_VALUE"""),"NEMIX")</f>
        <v>NEMIX</v>
      </c>
      <c r="D36" s="29" t="str">
        <f>IFERROR(__xludf.DUMMYFUNCTION("""COMPUTED_VALUE"""),"MSE21300-628K02-G")</f>
        <v>MSE21300-628K02-G</v>
      </c>
      <c r="E36" s="29">
        <f>IFERROR(__xludf.DUMMYFUNCTION("""COMPUTED_VALUE"""),2.0)</f>
        <v>2</v>
      </c>
      <c r="F36" s="29">
        <f>IFERROR(__xludf.DUMMYFUNCTION("""COMPUTED_VALUE"""),32.0)</f>
        <v>32</v>
      </c>
      <c r="G36" s="29" t="str">
        <f>IFERROR(__xludf.DUMMYFUNCTION("""COMPUTED_VALUE"""),"Yes")</f>
        <v>Yes</v>
      </c>
      <c r="H36" s="29" t="str">
        <f>IFERROR(__xludf.DUMMYFUNCTION("""COMPUTED_VALUE"""),"No")</f>
        <v>No</v>
      </c>
      <c r="I36" s="29" t="str">
        <f>IFERROR(__xludf.DUMMYFUNCTION("""COMPUTED_VALUE"""),"util_fhost.c:1195 Memtest passed!")</f>
        <v>util_fhost.c:1195 Memtest passed!</v>
      </c>
      <c r="J36" s="29" t="str">
        <f>IFERROR(__xludf.DUMMYFUNCTION("""COMPUTED_VALUE"""),"/u/CanadaX21")</f>
        <v>/u/CanadaX21</v>
      </c>
      <c r="K36" s="29" t="str">
        <f>IFERROR(__xludf.DUMMYFUNCTION("""COMPUTED_VALUE"""),"Canada")</f>
        <v>Canada</v>
      </c>
      <c r="L36" s="30" t="str">
        <f>IFERROR(__xludf.DUMMYFUNCTION("""COMPUTED_VALUE"""),"amazon.ca")</f>
        <v>amazon.ca</v>
      </c>
      <c r="N36" s="28"/>
    </row>
    <row r="37">
      <c r="A37" s="29" t="str">
        <f>IFERROR(__xludf.DUMMYFUNCTION("""COMPUTED_VALUE"""),"DS923+")</f>
        <v>DS923+</v>
      </c>
      <c r="B37" s="29" t="str">
        <f>IFERROR(__xludf.DUMMYFUNCTION("""COMPUTED_VALUE"""),"7.2.1-69057 Update 3")</f>
        <v>7.2.1-69057 Update 3</v>
      </c>
      <c r="C37" s="29" t="str">
        <f>IFERROR(__xludf.DUMMYFUNCTION("""COMPUTED_VALUE"""),"NEMIX")</f>
        <v>NEMIX</v>
      </c>
      <c r="D37" s="29" t="str">
        <f>IFERROR(__xludf.DUMMYFUNCTION("""COMPUTED_VALUE"""),"‎MSE21300-628K02-G")</f>
        <v>‎MSE21300-628K02-G</v>
      </c>
      <c r="E37" s="29">
        <f>IFERROR(__xludf.DUMMYFUNCTION("""COMPUTED_VALUE"""),2.0)</f>
        <v>2</v>
      </c>
      <c r="F37" s="29">
        <f>IFERROR(__xludf.DUMMYFUNCTION("""COMPUTED_VALUE"""),32.0)</f>
        <v>32</v>
      </c>
      <c r="G37" s="29" t="str">
        <f>IFERROR(__xludf.DUMMYFUNCTION("""COMPUTED_VALUE"""),"Yes")</f>
        <v>Yes</v>
      </c>
      <c r="H37" s="29" t="str">
        <f>IFERROR(__xludf.DUMMYFUNCTION("""COMPUTED_VALUE"""),"No")</f>
        <v>No</v>
      </c>
      <c r="I37" s="29"/>
      <c r="J37" s="29" t="str">
        <f>IFERROR(__xludf.DUMMYFUNCTION("""COMPUTED_VALUE"""),"xairrick")</f>
        <v>xairrick</v>
      </c>
      <c r="K37" s="29" t="str">
        <f>IFERROR(__xludf.DUMMYFUNCTION("""COMPUTED_VALUE"""),"USA")</f>
        <v>USA</v>
      </c>
      <c r="L37" s="29" t="str">
        <f>IFERROR(__xludf.DUMMYFUNCTION("""COMPUTED_VALUE"""),"Amazon")</f>
        <v>Amazon</v>
      </c>
      <c r="N37" s="28"/>
    </row>
    <row r="38">
      <c r="A38" s="29" t="str">
        <f>IFERROR(__xludf.DUMMYFUNCTION("""COMPUTED_VALUE"""),"DS923+")</f>
        <v>DS923+</v>
      </c>
      <c r="B38" s="29" t="str">
        <f>IFERROR(__xludf.DUMMYFUNCTION("""COMPUTED_VALUE"""),"7.2.1-69057 Update 3")</f>
        <v>7.2.1-69057 Update 3</v>
      </c>
      <c r="C38" s="29" t="str">
        <f>IFERROR(__xludf.DUMMYFUNCTION("""COMPUTED_VALUE"""),"Crucial")</f>
        <v>Crucial</v>
      </c>
      <c r="D38" s="29" t="str">
        <f>IFERROR(__xludf.DUMMYFUNCTION("""COMPUTED_VALUE"""),"CT8G4SFRA32A")</f>
        <v>CT8G4SFRA32A</v>
      </c>
      <c r="E38" s="29">
        <f>IFERROR(__xludf.DUMMYFUNCTION("""COMPUTED_VALUE"""),1.0)</f>
        <v>1</v>
      </c>
      <c r="F38" s="29">
        <f>IFERROR(__xludf.DUMMYFUNCTION("""COMPUTED_VALUE"""),12.0)</f>
        <v>12</v>
      </c>
      <c r="G38" s="29" t="str">
        <f>IFERROR(__xludf.DUMMYFUNCTION("""COMPUTED_VALUE"""),"Yes")</f>
        <v>Yes</v>
      </c>
      <c r="H38" s="29" t="str">
        <f>IFERROR(__xludf.DUMMYFUNCTION("""COMPUTED_VALUE"""),"No")</f>
        <v>No</v>
      </c>
      <c r="I38" s="29"/>
      <c r="J38" s="29"/>
      <c r="K38" s="29" t="str">
        <f>IFERROR(__xludf.DUMMYFUNCTION("""COMPUTED_VALUE"""),"Netherlands")</f>
        <v>Netherlands</v>
      </c>
      <c r="L38" s="30" t="str">
        <f>IFERROR(__xludf.DUMMYFUNCTION("""COMPUTED_VALUE"""),"Bol.com")</f>
        <v>Bol.com</v>
      </c>
      <c r="N38" s="28"/>
    </row>
    <row r="39">
      <c r="A39" s="29" t="str">
        <f>IFERROR(__xludf.DUMMYFUNCTION("""COMPUTED_VALUE"""),"DS923+")</f>
        <v>DS923+</v>
      </c>
      <c r="B39" s="29" t="str">
        <f>IFERROR(__xludf.DUMMYFUNCTION("""COMPUTED_VALUE"""),"7.2.1-69057 Update 3")</f>
        <v>7.2.1-69057 Update 3</v>
      </c>
      <c r="C39" s="29" t="str">
        <f>IFERROR(__xludf.DUMMYFUNCTION("""COMPUTED_VALUE"""),"NEMIX")</f>
        <v>NEMIX</v>
      </c>
      <c r="D39" s="29" t="str">
        <f>IFERROR(__xludf.DUMMYFUNCTION("""COMPUTED_VALUE"""),"MSE21300-628K2")</f>
        <v>MSE21300-628K2</v>
      </c>
      <c r="E39" s="29">
        <f>IFERROR(__xludf.DUMMYFUNCTION("""COMPUTED_VALUE"""),2.0)</f>
        <v>2</v>
      </c>
      <c r="F39" s="29">
        <f>IFERROR(__xludf.DUMMYFUNCTION("""COMPUTED_VALUE"""),32.0)</f>
        <v>32</v>
      </c>
      <c r="G39" s="29" t="str">
        <f>IFERROR(__xludf.DUMMYFUNCTION("""COMPUTED_VALUE"""),"Yes")</f>
        <v>Yes</v>
      </c>
      <c r="H39" s="29" t="str">
        <f>IFERROR(__xludf.DUMMYFUNCTION("""COMPUTED_VALUE"""),"No")</f>
        <v>No</v>
      </c>
      <c r="I39" s="29"/>
      <c r="J39" s="29"/>
      <c r="K39" s="29" t="str">
        <f>IFERROR(__xludf.DUMMYFUNCTION("""COMPUTED_VALUE"""),"USA")</f>
        <v>USA</v>
      </c>
      <c r="L39" s="30" t="str">
        <f>IFERROR(__xludf.DUMMYFUNCTION("""COMPUTED_VALUE"""),"Amazon.com")</f>
        <v>Amazon.com</v>
      </c>
      <c r="N39" s="28"/>
    </row>
    <row r="40">
      <c r="A40" s="29" t="str">
        <f>IFERROR(__xludf.DUMMYFUNCTION("""COMPUTED_VALUE"""),"DS923+")</f>
        <v>DS923+</v>
      </c>
      <c r="B40" s="29" t="str">
        <f>IFERROR(__xludf.DUMMYFUNCTION("""COMPUTED_VALUE"""),"7.2.1-69057 Update 3")</f>
        <v>7.2.1-69057 Update 3</v>
      </c>
      <c r="C40" s="29" t="str">
        <f>IFERROR(__xludf.DUMMYFUNCTION("""COMPUTED_VALUE"""),"Kingston")</f>
        <v>Kingston</v>
      </c>
      <c r="D40" s="29" t="str">
        <f>IFERROR(__xludf.DUMMYFUNCTION("""COMPUTED_VALUE"""),"KSM32SED8/32HC")</f>
        <v>KSM32SED8/32HC</v>
      </c>
      <c r="E40" s="29">
        <f>IFERROR(__xludf.DUMMYFUNCTION("""COMPUTED_VALUE"""),2.0)</f>
        <v>2</v>
      </c>
      <c r="F40" s="29">
        <f>IFERROR(__xludf.DUMMYFUNCTION("""COMPUTED_VALUE"""),64.0)</f>
        <v>64</v>
      </c>
      <c r="G40" s="29" t="str">
        <f>IFERROR(__xludf.DUMMYFUNCTION("""COMPUTED_VALUE"""),"Yes")</f>
        <v>Yes</v>
      </c>
      <c r="H40" s="29" t="str">
        <f>IFERROR(__xludf.DUMMYFUNCTION("""COMPUTED_VALUE"""),"No")</f>
        <v>No</v>
      </c>
      <c r="I40" s="29"/>
      <c r="J40" s="29" t="str">
        <f>IFERROR(__xludf.DUMMYFUNCTION("""COMPUTED_VALUE"""),"mlenior")</f>
        <v>mlenior</v>
      </c>
      <c r="K40" s="29" t="str">
        <f>IFERROR(__xludf.DUMMYFUNCTION("""COMPUTED_VALUE"""),"Netherlands")</f>
        <v>Netherlands</v>
      </c>
      <c r="L40" s="30" t="str">
        <f>IFERROR(__xludf.DUMMYFUNCTION("""COMPUTED_VALUE"""),"Azerty.nl")</f>
        <v>Azerty.nl</v>
      </c>
      <c r="N40" s="28"/>
    </row>
    <row r="41">
      <c r="A41" s="29" t="str">
        <f>IFERROR(__xludf.DUMMYFUNCTION("""COMPUTED_VALUE"""),"DS923+")</f>
        <v>DS923+</v>
      </c>
      <c r="B41" s="29" t="str">
        <f>IFERROR(__xludf.DUMMYFUNCTION("""COMPUTED_VALUE"""),"7.2.1-69057 Update 3")</f>
        <v>7.2.1-69057 Update 3</v>
      </c>
      <c r="C41" s="29" t="str">
        <f>IFERROR(__xludf.DUMMYFUNCTION("""COMPUTED_VALUE"""),"Kingston")</f>
        <v>Kingston</v>
      </c>
      <c r="D41" s="29" t="str">
        <f>IFERROR(__xludf.DUMMYFUNCTION("""COMPUTED_VALUE"""),"KSM26SED8/32MF")</f>
        <v>KSM26SED8/32MF</v>
      </c>
      <c r="E41" s="29">
        <f>IFERROR(__xludf.DUMMYFUNCTION("""COMPUTED_VALUE"""),2.0)</f>
        <v>2</v>
      </c>
      <c r="F41" s="29">
        <f>IFERROR(__xludf.DUMMYFUNCTION("""COMPUTED_VALUE"""),64.0)</f>
        <v>64</v>
      </c>
      <c r="G41" s="29" t="str">
        <f>IFERROR(__xludf.DUMMYFUNCTION("""COMPUTED_VALUE"""),"Yes")</f>
        <v>Yes</v>
      </c>
      <c r="H41" s="29" t="str">
        <f>IFERROR(__xludf.DUMMYFUNCTION("""COMPUTED_VALUE"""),"No")</f>
        <v>No</v>
      </c>
      <c r="I41" s="29"/>
      <c r="J41" s="29" t="str">
        <f>IFERROR(__xludf.DUMMYFUNCTION("""COMPUTED_VALUE"""),"casjquz")</f>
        <v>casjquz</v>
      </c>
      <c r="K41" s="29" t="str">
        <f>IFERROR(__xludf.DUMMYFUNCTION("""COMPUTED_VALUE"""),"Italy")</f>
        <v>Italy</v>
      </c>
      <c r="L41" s="30" t="str">
        <f>IFERROR(__xludf.DUMMYFUNCTION("""COMPUTED_VALUE"""),"redgaming.it")</f>
        <v>redgaming.it</v>
      </c>
      <c r="N41" s="28"/>
    </row>
    <row r="42">
      <c r="A42" s="29" t="str">
        <f>IFERROR(__xludf.DUMMYFUNCTION("""COMPUTED_VALUE"""),"DS923+")</f>
        <v>DS923+</v>
      </c>
      <c r="B42" s="29" t="str">
        <f>IFERROR(__xludf.DUMMYFUNCTION("""COMPUTED_VALUE"""),"7.2.1-69057")</f>
        <v>7.2.1-69057</v>
      </c>
      <c r="C42" s="29" t="str">
        <f>IFERROR(__xludf.DUMMYFUNCTION("""COMPUTED_VALUE"""),"A-Tech")</f>
        <v>A-Tech</v>
      </c>
      <c r="D42" s="29" t="str">
        <f>IFERROR(__xludf.DUMMYFUNCTION("""COMPUTED_VALUE"""),"B0BYKHFT2X")</f>
        <v>B0BYKHFT2X</v>
      </c>
      <c r="E42" s="29">
        <f>IFERROR(__xludf.DUMMYFUNCTION("""COMPUTED_VALUE"""),2.0)</f>
        <v>2</v>
      </c>
      <c r="F42" s="29">
        <f>IFERROR(__xludf.DUMMYFUNCTION("""COMPUTED_VALUE"""),32.0)</f>
        <v>32</v>
      </c>
      <c r="G42" s="29" t="str">
        <f>IFERROR(__xludf.DUMMYFUNCTION("""COMPUTED_VALUE"""),"Yes")</f>
        <v>Yes</v>
      </c>
      <c r="H42" s="29" t="str">
        <f>IFERROR(__xludf.DUMMYFUNCTION("""COMPUTED_VALUE"""),"No")</f>
        <v>No</v>
      </c>
      <c r="I42" s="29"/>
      <c r="J42" s="29"/>
      <c r="K42" s="29" t="str">
        <f>IFERROR(__xludf.DUMMYFUNCTION("""COMPUTED_VALUE"""),"USA")</f>
        <v>USA</v>
      </c>
      <c r="L42" s="29" t="str">
        <f>IFERROR(__xludf.DUMMYFUNCTION("""COMPUTED_VALUE"""),"Amazon")</f>
        <v>Amazon</v>
      </c>
      <c r="N42" s="28"/>
    </row>
    <row r="43">
      <c r="A43" s="29" t="str">
        <f>IFERROR(__xludf.DUMMYFUNCTION("""COMPUTED_VALUE"""),"DS923+")</f>
        <v>DS923+</v>
      </c>
      <c r="B43" s="29" t="str">
        <f>IFERROR(__xludf.DUMMYFUNCTION("""COMPUTED_VALUE"""),"7.2.1-69057 Update 3")</f>
        <v>7.2.1-69057 Update 3</v>
      </c>
      <c r="C43" s="29" t="str">
        <f>IFERROR(__xludf.DUMMYFUNCTION("""COMPUTED_VALUE"""),"Kingston")</f>
        <v>Kingston</v>
      </c>
      <c r="D43" s="29" t="str">
        <f>IFERROR(__xludf.DUMMYFUNCTION("""COMPUTED_VALUE"""),"KSM32SES8/16HC")</f>
        <v>KSM32SES8/16HC</v>
      </c>
      <c r="E43" s="29">
        <f>IFERROR(__xludf.DUMMYFUNCTION("""COMPUTED_VALUE"""),1.0)</f>
        <v>1</v>
      </c>
      <c r="F43" s="29">
        <f>IFERROR(__xludf.DUMMYFUNCTION("""COMPUTED_VALUE"""),20.0)</f>
        <v>20</v>
      </c>
      <c r="G43" s="29" t="str">
        <f>IFERROR(__xludf.DUMMYFUNCTION("""COMPUTED_VALUE"""),"Yes")</f>
        <v>Yes</v>
      </c>
      <c r="H43" s="29" t="str">
        <f>IFERROR(__xludf.DUMMYFUNCTION("""COMPUTED_VALUE"""),"No")</f>
        <v>No</v>
      </c>
      <c r="I43" s="29"/>
      <c r="J43" s="29"/>
      <c r="K43" s="29" t="str">
        <f>IFERROR(__xludf.DUMMYFUNCTION("""COMPUTED_VALUE"""),"UK")</f>
        <v>UK</v>
      </c>
      <c r="L43" s="29"/>
      <c r="N43" s="28"/>
    </row>
    <row r="44">
      <c r="A44" s="29" t="str">
        <f>IFERROR(__xludf.DUMMYFUNCTION("""COMPUTED_VALUE"""),"DS923+")</f>
        <v>DS923+</v>
      </c>
      <c r="B44" s="29" t="str">
        <f>IFERROR(__xludf.DUMMYFUNCTION("""COMPUTED_VALUE"""),"7.2.1-69057 Update 3")</f>
        <v>7.2.1-69057 Update 3</v>
      </c>
      <c r="C44" s="29" t="str">
        <f>IFERROR(__xludf.DUMMYFUNCTION("""COMPUTED_VALUE"""),"Kingston")</f>
        <v>Kingston</v>
      </c>
      <c r="D44" s="29" t="str">
        <f>IFERROR(__xludf.DUMMYFUNCTION("""COMPUTED_VALUE"""),"KSM26SED8/16HD")</f>
        <v>KSM26SED8/16HD</v>
      </c>
      <c r="E44" s="29">
        <f>IFERROR(__xludf.DUMMYFUNCTION("""COMPUTED_VALUE"""),2.0)</f>
        <v>2</v>
      </c>
      <c r="F44" s="29">
        <f>IFERROR(__xludf.DUMMYFUNCTION("""COMPUTED_VALUE"""),32.0)</f>
        <v>32</v>
      </c>
      <c r="G44" s="29" t="str">
        <f>IFERROR(__xludf.DUMMYFUNCTION("""COMPUTED_VALUE"""),"Yes")</f>
        <v>Yes</v>
      </c>
      <c r="H44" s="29" t="str">
        <f>IFERROR(__xludf.DUMMYFUNCTION("""COMPUTED_VALUE"""),"No")</f>
        <v>No</v>
      </c>
      <c r="I44" s="29"/>
      <c r="J44" s="29"/>
      <c r="K44" s="29" t="str">
        <f>IFERROR(__xludf.DUMMYFUNCTION("""COMPUTED_VALUE"""),"Australia")</f>
        <v>Australia</v>
      </c>
      <c r="L44" s="30" t="str">
        <f>IFERROR(__xludf.DUMMYFUNCTION("""COMPUTED_VALUE"""),"tradeinn.com")</f>
        <v>tradeinn.com</v>
      </c>
      <c r="N44" s="28"/>
    </row>
    <row r="45">
      <c r="A45" s="29" t="str">
        <f>IFERROR(__xludf.DUMMYFUNCTION("""COMPUTED_VALUE"""),"DS923+")</f>
        <v>DS923+</v>
      </c>
      <c r="B45" s="29" t="str">
        <f>IFERROR(__xludf.DUMMYFUNCTION("""COMPUTED_VALUE"""),"7.2-64561")</f>
        <v>7.2-64561</v>
      </c>
      <c r="C45" s="29" t="str">
        <f>IFERROR(__xludf.DUMMYFUNCTION("""COMPUTED_VALUE"""),"Kingston")</f>
        <v>Kingston</v>
      </c>
      <c r="D45" s="29" t="str">
        <f>IFERROR(__xludf.DUMMYFUNCTION("""COMPUTED_VALUE"""),"KSM32SED8/16HD")</f>
        <v>KSM32SED8/16HD</v>
      </c>
      <c r="E45" s="29">
        <f>IFERROR(__xludf.DUMMYFUNCTION("""COMPUTED_VALUE"""),2.0)</f>
        <v>2</v>
      </c>
      <c r="F45" s="29">
        <f>IFERROR(__xludf.DUMMYFUNCTION("""COMPUTED_VALUE"""),32.0)</f>
        <v>32</v>
      </c>
      <c r="G45" s="29" t="str">
        <f>IFERROR(__xludf.DUMMYFUNCTION("""COMPUTED_VALUE"""),"Yes")</f>
        <v>Yes</v>
      </c>
      <c r="H45" s="29" t="str">
        <f>IFERROR(__xludf.DUMMYFUNCTION("""COMPUTED_VALUE"""),"No")</f>
        <v>No</v>
      </c>
      <c r="I45" s="29"/>
      <c r="J45" s="29"/>
      <c r="K45" s="29" t="str">
        <f>IFERROR(__xludf.DUMMYFUNCTION("""COMPUTED_VALUE"""),"Netherlands")</f>
        <v>Netherlands</v>
      </c>
      <c r="L45" s="29" t="str">
        <f>IFERROR(__xludf.DUMMYFUNCTION("""COMPUTED_VALUE"""),"Megekko")</f>
        <v>Megekko</v>
      </c>
      <c r="N45" s="28"/>
    </row>
    <row r="46">
      <c r="A46" s="29" t="str">
        <f>IFERROR(__xludf.DUMMYFUNCTION("""COMPUTED_VALUE"""),"DS923+")</f>
        <v>DS923+</v>
      </c>
      <c r="B46" s="29" t="str">
        <f>IFERROR(__xludf.DUMMYFUNCTION("""COMPUTED_VALUE"""),"7.2.1-69057 Update 4")</f>
        <v>7.2.1-69057 Update 4</v>
      </c>
      <c r="C46" s="29" t="str">
        <f>IFERROR(__xludf.DUMMYFUNCTION("""COMPUTED_VALUE"""),"Kingston")</f>
        <v>Kingston</v>
      </c>
      <c r="D46" s="29" t="str">
        <f>IFERROR(__xludf.DUMMYFUNCTION("""COMPUTED_VALUE"""),"KSM26SED8/16HD")</f>
        <v>KSM26SED8/16HD</v>
      </c>
      <c r="E46" s="29">
        <f>IFERROR(__xludf.DUMMYFUNCTION("""COMPUTED_VALUE"""),2.0)</f>
        <v>2</v>
      </c>
      <c r="F46" s="29">
        <f>IFERROR(__xludf.DUMMYFUNCTION("""COMPUTED_VALUE"""),32.0)</f>
        <v>32</v>
      </c>
      <c r="G46" s="29" t="str">
        <f>IFERROR(__xludf.DUMMYFUNCTION("""COMPUTED_VALUE"""),"Yes")</f>
        <v>Yes</v>
      </c>
      <c r="H46" s="29" t="str">
        <f>IFERROR(__xludf.DUMMYFUNCTION("""COMPUTED_VALUE"""),"No")</f>
        <v>No</v>
      </c>
      <c r="I46" s="29" t="str">
        <f>IFERROR(__xludf.DUMMYFUNCTION("""COMPUTED_VALUE"""),"P/N: 9965657-035.A00G")</f>
        <v>P/N: 9965657-035.A00G</v>
      </c>
      <c r="J46" s="29" t="str">
        <f>IFERROR(__xludf.DUMMYFUNCTION("""COMPUTED_VALUE"""),"/r/synology")</f>
        <v>/r/synology</v>
      </c>
      <c r="K46" s="29" t="str">
        <f>IFERROR(__xludf.DUMMYFUNCTION("""COMPUTED_VALUE"""),"Greece")</f>
        <v>Greece</v>
      </c>
      <c r="L46" s="29" t="str">
        <f>IFERROR(__xludf.DUMMYFUNCTION("""COMPUTED_VALUE"""),"PriveShop")</f>
        <v>PriveShop</v>
      </c>
      <c r="N46" s="28"/>
    </row>
    <row r="47">
      <c r="A47" s="29" t="str">
        <f>IFERROR(__xludf.DUMMYFUNCTION("""COMPUTED_VALUE"""),"DS923+")</f>
        <v>DS923+</v>
      </c>
      <c r="B47" s="29" t="str">
        <f>IFERROR(__xludf.DUMMYFUNCTION("""COMPUTED_VALUE"""),"7.2.1-69057")</f>
        <v>7.2.1-69057</v>
      </c>
      <c r="C47" s="29" t="str">
        <f>IFERROR(__xludf.DUMMYFUNCTION("""COMPUTED_VALUE"""),"Timetec")</f>
        <v>Timetec</v>
      </c>
      <c r="D47" s="29" t="str">
        <f>IFERROR(__xludf.DUMMYFUNCTION("""COMPUTED_VALUE"""),"D4ECSO-2666-16G_TT")</f>
        <v>D4ECSO-2666-16G_TT</v>
      </c>
      <c r="E47" s="29">
        <f>IFERROR(__xludf.DUMMYFUNCTION("""COMPUTED_VALUE"""),2.0)</f>
        <v>2</v>
      </c>
      <c r="F47" s="29">
        <f>IFERROR(__xludf.DUMMYFUNCTION("""COMPUTED_VALUE"""),32.0)</f>
        <v>32</v>
      </c>
      <c r="G47" s="29" t="str">
        <f>IFERROR(__xludf.DUMMYFUNCTION("""COMPUTED_VALUE"""),"Yes")</f>
        <v>Yes</v>
      </c>
      <c r="H47" s="29" t="str">
        <f>IFERROR(__xludf.DUMMYFUNCTION("""COMPUTED_VALUE"""),"No")</f>
        <v>No</v>
      </c>
      <c r="I47" s="29"/>
      <c r="J47" s="29" t="str">
        <f>IFERROR(__xludf.DUMMYFUNCTION("""COMPUTED_VALUE"""),"MotoChooch")</f>
        <v>MotoChooch</v>
      </c>
      <c r="K47" s="29" t="str">
        <f>IFERROR(__xludf.DUMMYFUNCTION("""COMPUTED_VALUE"""),"USA")</f>
        <v>USA</v>
      </c>
      <c r="L47" s="30" t="str">
        <f>IFERROR(__xludf.DUMMYFUNCTION("""COMPUTED_VALUE"""),"amazon.com")</f>
        <v>amazon.com</v>
      </c>
      <c r="N47" s="28"/>
    </row>
    <row r="48">
      <c r="A48" s="29" t="str">
        <f>IFERROR(__xludf.DUMMYFUNCTION("""COMPUTED_VALUE"""),"DS923+")</f>
        <v>DS923+</v>
      </c>
      <c r="B48" s="29" t="str">
        <f>IFERROR(__xludf.DUMMYFUNCTION("""COMPUTED_VALUE"""),"7.2.1-69057 Update 4")</f>
        <v>7.2.1-69057 Update 4</v>
      </c>
      <c r="C48" s="29" t="str">
        <f>IFERROR(__xludf.DUMMYFUNCTION("""COMPUTED_VALUE"""),"Hynix")</f>
        <v>Hynix</v>
      </c>
      <c r="D48" s="29" t="str">
        <f>IFERROR(__xludf.DUMMYFUNCTION("""COMPUTED_VALUE"""),"HMAG68EXNAA075N")</f>
        <v>HMAG68EXNAA075N</v>
      </c>
      <c r="E48" s="29">
        <f>IFERROR(__xludf.DUMMYFUNCTION("""COMPUTED_VALUE"""),2.0)</f>
        <v>2</v>
      </c>
      <c r="F48" s="29">
        <f>IFERROR(__xludf.DUMMYFUNCTION("""COMPUTED_VALUE"""),16.0)</f>
        <v>16</v>
      </c>
      <c r="G48" s="29" t="str">
        <f>IFERROR(__xludf.DUMMYFUNCTION("""COMPUTED_VALUE"""),"Yes")</f>
        <v>Yes</v>
      </c>
      <c r="H48" s="29" t="str">
        <f>IFERROR(__xludf.DUMMYFUNCTION("""COMPUTED_VALUE"""),"No")</f>
        <v>No</v>
      </c>
      <c r="I48" s="29"/>
      <c r="J48" s="29"/>
      <c r="K48" s="29" t="str">
        <f>IFERROR(__xludf.DUMMYFUNCTION("""COMPUTED_VALUE"""),"USA")</f>
        <v>USA</v>
      </c>
      <c r="L48" s="30" t="str">
        <f>IFERROR(__xludf.DUMMYFUNCTION("""COMPUTED_VALUE"""),"amazon.com")</f>
        <v>amazon.com</v>
      </c>
      <c r="N48" s="28"/>
    </row>
    <row r="49">
      <c r="A49" s="29" t="str">
        <f>IFERROR(__xludf.DUMMYFUNCTION("""COMPUTED_VALUE"""),"DS923+")</f>
        <v>DS923+</v>
      </c>
      <c r="B49" s="29" t="str">
        <f>IFERROR(__xludf.DUMMYFUNCTION("""COMPUTED_VALUE"""),"7.2.1-69057 Update 4")</f>
        <v>7.2.1-69057 Update 4</v>
      </c>
      <c r="C49" s="29" t="str">
        <f>IFERROR(__xludf.DUMMYFUNCTION("""COMPUTED_VALUE"""),"OWC")</f>
        <v>OWC</v>
      </c>
      <c r="D49" s="29" t="str">
        <f>IFERROR(__xludf.DUMMYFUNCTION("""COMPUTED_VALUE"""),"OWC2C6D42R8032P")</f>
        <v>OWC2C6D42R8032P</v>
      </c>
      <c r="E49" s="29">
        <f>IFERROR(__xludf.DUMMYFUNCTION("""COMPUTED_VALUE"""),2.0)</f>
        <v>2</v>
      </c>
      <c r="F49" s="29">
        <f>IFERROR(__xludf.DUMMYFUNCTION("""COMPUTED_VALUE"""),32.0)</f>
        <v>32</v>
      </c>
      <c r="G49" s="29" t="str">
        <f>IFERROR(__xludf.DUMMYFUNCTION("""COMPUTED_VALUE"""),"Yes")</f>
        <v>Yes</v>
      </c>
      <c r="H49" s="29" t="str">
        <f>IFERROR(__xludf.DUMMYFUNCTION("""COMPUTED_VALUE"""),"No")</f>
        <v>No</v>
      </c>
      <c r="I49" s="29" t="str">
        <f>IFERROR(__xludf.DUMMYFUNCTION("""COMPUTED_VALUE"""),"No issues. Immediate boot up.")</f>
        <v>No issues. Immediate boot up.</v>
      </c>
      <c r="J49" s="29" t="str">
        <f>IFERROR(__xludf.DUMMYFUNCTION("""COMPUTED_VALUE"""),"u/hoggerjeff")</f>
        <v>u/hoggerjeff</v>
      </c>
      <c r="K49" s="29" t="str">
        <f>IFERROR(__xludf.DUMMYFUNCTION("""COMPUTED_VALUE"""),"Canada")</f>
        <v>Canada</v>
      </c>
      <c r="L49" s="30" t="str">
        <f>IFERROR(__xludf.DUMMYFUNCTION("""COMPUTED_VALUE"""),"amazon.ca")</f>
        <v>amazon.ca</v>
      </c>
      <c r="N49" s="28"/>
    </row>
    <row r="50">
      <c r="A50" s="29" t="str">
        <f>IFERROR(__xludf.DUMMYFUNCTION("""COMPUTED_VALUE"""),"DS923+")</f>
        <v>DS923+</v>
      </c>
      <c r="B50" s="29" t="str">
        <f>IFERROR(__xludf.DUMMYFUNCTION("""COMPUTED_VALUE"""),"7.2.1-69057 Update 4")</f>
        <v>7.2.1-69057 Update 4</v>
      </c>
      <c r="C50" s="29" t="str">
        <f>IFERROR(__xludf.DUMMYFUNCTION("""COMPUTED_VALUE"""),"Kingston")</f>
        <v>Kingston</v>
      </c>
      <c r="D50" s="29" t="str">
        <f>IFERROR(__xludf.DUMMYFUNCTION("""COMPUTED_VALUE"""),"KSM32SES8/16HC")</f>
        <v>KSM32SES8/16HC</v>
      </c>
      <c r="E50" s="29">
        <f>IFERROR(__xludf.DUMMYFUNCTION("""COMPUTED_VALUE"""),2.0)</f>
        <v>2</v>
      </c>
      <c r="F50" s="29">
        <f>IFERROR(__xludf.DUMMYFUNCTION("""COMPUTED_VALUE"""),32.0)</f>
        <v>32</v>
      </c>
      <c r="G50" s="29" t="str">
        <f>IFERROR(__xludf.DUMMYFUNCTION("""COMPUTED_VALUE"""),"Yes")</f>
        <v>Yes</v>
      </c>
      <c r="H50" s="29" t="str">
        <f>IFERROR(__xludf.DUMMYFUNCTION("""COMPUTED_VALUE"""),"No")</f>
        <v>No</v>
      </c>
      <c r="I50" s="29"/>
      <c r="J50" s="29" t="str">
        <f>IFERROR(__xludf.DUMMYFUNCTION("""COMPUTED_VALUE"""),"wwwsam")</f>
        <v>wwwsam</v>
      </c>
      <c r="K50" s="29" t="str">
        <f>IFERROR(__xludf.DUMMYFUNCTION("""COMPUTED_VALUE"""),"Germany")</f>
        <v>Germany</v>
      </c>
      <c r="L50" s="30" t="str">
        <f>IFERROR(__xludf.DUMMYFUNCTION("""COMPUTED_VALUE"""),"amazon.com.au")</f>
        <v>amazon.com.au</v>
      </c>
      <c r="N50" s="28"/>
    </row>
    <row r="51">
      <c r="A51" s="29" t="str">
        <f>IFERROR(__xludf.DUMMYFUNCTION("""COMPUTED_VALUE"""),"DS923+")</f>
        <v>DS923+</v>
      </c>
      <c r="B51" s="29" t="str">
        <f>IFERROR(__xludf.DUMMYFUNCTION("""COMPUTED_VALUE"""),"7.2.1-69057 Update 5")</f>
        <v>7.2.1-69057 Update 5</v>
      </c>
      <c r="C51" s="29" t="str">
        <f>IFERROR(__xludf.DUMMYFUNCTION("""COMPUTED_VALUE"""),"Kingston")</f>
        <v>Kingston</v>
      </c>
      <c r="D51" s="29" t="str">
        <f>IFERROR(__xludf.DUMMYFUNCTION("""COMPUTED_VALUE"""),"KSM26SED8/16HD")</f>
        <v>KSM26SED8/16HD</v>
      </c>
      <c r="E51" s="29">
        <f>IFERROR(__xludf.DUMMYFUNCTION("""COMPUTED_VALUE"""),2.0)</f>
        <v>2</v>
      </c>
      <c r="F51" s="29">
        <f>IFERROR(__xludf.DUMMYFUNCTION("""COMPUTED_VALUE"""),32.0)</f>
        <v>32</v>
      </c>
      <c r="G51" s="29" t="str">
        <f>IFERROR(__xludf.DUMMYFUNCTION("""COMPUTED_VALUE"""),"Yes")</f>
        <v>Yes</v>
      </c>
      <c r="H51" s="29" t="str">
        <f>IFERROR(__xludf.DUMMYFUNCTION("""COMPUTED_VALUE"""),"No")</f>
        <v>No</v>
      </c>
      <c r="I51" s="29"/>
      <c r="J51" s="29"/>
      <c r="K51" s="29" t="str">
        <f>IFERROR(__xludf.DUMMYFUNCTION("""COMPUTED_VALUE"""),"Denmark")</f>
        <v>Denmark</v>
      </c>
      <c r="L51" s="30" t="str">
        <f>IFERROR(__xludf.DUMMYFUNCTION("""COMPUTED_VALUE"""),"proshop.dk")</f>
        <v>proshop.dk</v>
      </c>
      <c r="N51" s="28"/>
    </row>
    <row r="52">
      <c r="A52" s="29" t="str">
        <f>IFERROR(__xludf.DUMMYFUNCTION("""COMPUTED_VALUE"""),"DS923+")</f>
        <v>DS923+</v>
      </c>
      <c r="B52" s="29"/>
      <c r="C52" s="29" t="str">
        <f>IFERROR(__xludf.DUMMYFUNCTION("""COMPUTED_VALUE"""),"Kingston")</f>
        <v>Kingston</v>
      </c>
      <c r="D52" s="29" t="str">
        <f>IFERROR(__xludf.DUMMYFUNCTION("""COMPUTED_VALUE"""),"KSM26SED8/16MR")</f>
        <v>KSM26SED8/16MR</v>
      </c>
      <c r="E52" s="29">
        <f>IFERROR(__xludf.DUMMYFUNCTION("""COMPUTED_VALUE"""),2.0)</f>
        <v>2</v>
      </c>
      <c r="F52" s="29">
        <f>IFERROR(__xludf.DUMMYFUNCTION("""COMPUTED_VALUE"""),32.0)</f>
        <v>32</v>
      </c>
      <c r="G52" s="29" t="str">
        <f>IFERROR(__xludf.DUMMYFUNCTION("""COMPUTED_VALUE"""),"Yes")</f>
        <v>Yes</v>
      </c>
      <c r="H52" s="29" t="str">
        <f>IFERROR(__xludf.DUMMYFUNCTION("""COMPUTED_VALUE"""),"Yes")</f>
        <v>Yes</v>
      </c>
      <c r="I52" s="29"/>
      <c r="J52" s="29" t="str">
        <f>IFERROR(__xludf.DUMMYFUNCTION("""COMPUTED_VALUE"""),"sylsylsylsylsylsyl")</f>
        <v>sylsylsylsylsylsyl</v>
      </c>
      <c r="K52" s="29" t="str">
        <f>IFERROR(__xludf.DUMMYFUNCTION("""COMPUTED_VALUE"""),"UK")</f>
        <v>UK</v>
      </c>
      <c r="L52" s="30" t="str">
        <f>IFERROR(__xludf.DUMMYFUNCTION("""COMPUTED_VALUE"""),"www.kingstonmemoryshop.co.uk")</f>
        <v>www.kingstonmemoryshop.co.uk</v>
      </c>
      <c r="N52" s="28"/>
    </row>
    <row r="53">
      <c r="A53" s="29" t="str">
        <f>IFERROR(__xludf.DUMMYFUNCTION("""COMPUTED_VALUE"""),"DS923+")</f>
        <v>DS923+</v>
      </c>
      <c r="B53" s="29" t="str">
        <f>IFERROR(__xludf.DUMMYFUNCTION("""COMPUTED_VALUE"""),"7.2.1-69057 Update 5")</f>
        <v>7.2.1-69057 Update 5</v>
      </c>
      <c r="C53" s="29" t="str">
        <f>IFERROR(__xludf.DUMMYFUNCTION("""COMPUTED_VALUE"""),"Crucial")</f>
        <v>Crucial</v>
      </c>
      <c r="D53" s="29" t="str">
        <f>IFERROR(__xludf.DUMMYFUNCTION("""COMPUTED_VALUE"""),"CT8G4SFRA32A")</f>
        <v>CT8G4SFRA32A</v>
      </c>
      <c r="E53" s="29">
        <f>IFERROR(__xludf.DUMMYFUNCTION("""COMPUTED_VALUE"""),2.0)</f>
        <v>2</v>
      </c>
      <c r="F53" s="29">
        <f>IFERROR(__xludf.DUMMYFUNCTION("""COMPUTED_VALUE"""),16.0)</f>
        <v>16</v>
      </c>
      <c r="G53" s="29" t="str">
        <f>IFERROR(__xludf.DUMMYFUNCTION("""COMPUTED_VALUE"""),"Yes")</f>
        <v>Yes</v>
      </c>
      <c r="H53" s="29" t="str">
        <f>IFERROR(__xludf.DUMMYFUNCTION("""COMPUTED_VALUE"""),"No")</f>
        <v>No</v>
      </c>
      <c r="I53" s="29"/>
      <c r="J53" s="29" t="str">
        <f>IFERROR(__xludf.DUMMYFUNCTION("""COMPUTED_VALUE"""),"u/notgoodwusernames")</f>
        <v>u/notgoodwusernames</v>
      </c>
      <c r="K53" s="29" t="str">
        <f>IFERROR(__xludf.DUMMYFUNCTION("""COMPUTED_VALUE"""),"USA")</f>
        <v>USA</v>
      </c>
      <c r="L53" s="30" t="str">
        <f>IFERROR(__xludf.DUMMYFUNCTION("""COMPUTED_VALUE"""),"amazon.com")</f>
        <v>amazon.com</v>
      </c>
      <c r="N53" s="28"/>
    </row>
    <row r="54">
      <c r="A54" s="29" t="str">
        <f>IFERROR(__xludf.DUMMYFUNCTION("""COMPUTED_VALUE"""),"DS923+")</f>
        <v>DS923+</v>
      </c>
      <c r="B54" s="29" t="str">
        <f>IFERROR(__xludf.DUMMYFUNCTION("""COMPUTED_VALUE"""),"7.2.1-69057 Update 5")</f>
        <v>7.2.1-69057 Update 5</v>
      </c>
      <c r="C54" s="29" t="str">
        <f>IFERROR(__xludf.DUMMYFUNCTION("""COMPUTED_VALUE"""),"Teamgroup")</f>
        <v>Teamgroup</v>
      </c>
      <c r="D54" s="29" t="str">
        <f>IFERROR(__xludf.DUMMYFUNCTION("""COMPUTED_VALUE"""),"TED432G3200C22DC-S01")</f>
        <v>TED432G3200C22DC-S01</v>
      </c>
      <c r="E54" s="29">
        <f>IFERROR(__xludf.DUMMYFUNCTION("""COMPUTED_VALUE"""),2.0)</f>
        <v>2</v>
      </c>
      <c r="F54" s="29">
        <f>IFERROR(__xludf.DUMMYFUNCTION("""COMPUTED_VALUE"""),32.0)</f>
        <v>32</v>
      </c>
      <c r="G54" s="29" t="str">
        <f>IFERROR(__xludf.DUMMYFUNCTION("""COMPUTED_VALUE"""),"Yes")</f>
        <v>Yes</v>
      </c>
      <c r="H54" s="29" t="str">
        <f>IFERROR(__xludf.DUMMYFUNCTION("""COMPUTED_VALUE"""),"No")</f>
        <v>No</v>
      </c>
      <c r="I54" s="29" t="str">
        <f>IFERROR(__xludf.DUMMYFUNCTION("""COMPUTED_VALUE"""),"No issues; 32gb kit for $53.99 USD (5/31/2024)")</f>
        <v>No issues; 32gb kit for $53.99 USD (5/31/2024)</v>
      </c>
      <c r="J54" s="29"/>
      <c r="K54" s="29" t="str">
        <f>IFERROR(__xludf.DUMMYFUNCTION("""COMPUTED_VALUE"""),"USA")</f>
        <v>USA</v>
      </c>
      <c r="L54" s="30" t="str">
        <f>IFERROR(__xludf.DUMMYFUNCTION("""COMPUTED_VALUE"""),"amazon.com")</f>
        <v>amazon.com</v>
      </c>
      <c r="N54" s="28"/>
    </row>
    <row r="55">
      <c r="A55" s="29" t="str">
        <f>IFERROR(__xludf.DUMMYFUNCTION("""COMPUTED_VALUE"""),"DS923+")</f>
        <v>DS923+</v>
      </c>
      <c r="B55" s="29" t="str">
        <f>IFERROR(__xludf.DUMMYFUNCTION("""COMPUTED_VALUE"""),"7.2.1-69057 Update 5")</f>
        <v>7.2.1-69057 Update 5</v>
      </c>
      <c r="C55" s="29" t="str">
        <f>IFERROR(__xludf.DUMMYFUNCTION("""COMPUTED_VALUE"""),"Lexar")</f>
        <v>Lexar</v>
      </c>
      <c r="D55" s="29" t="str">
        <f>IFERROR(__xludf.DUMMYFUNCTION("""COMPUTED_VALUE"""),"LD4AS016G-B3200ASST")</f>
        <v>LD4AS016G-B3200ASST</v>
      </c>
      <c r="E55" s="29">
        <f>IFERROR(__xludf.DUMMYFUNCTION("""COMPUTED_VALUE"""),1.0)</f>
        <v>1</v>
      </c>
      <c r="F55" s="29">
        <f>IFERROR(__xludf.DUMMYFUNCTION("""COMPUTED_VALUE"""),20.0)</f>
        <v>20</v>
      </c>
      <c r="G55" s="29" t="str">
        <f>IFERROR(__xludf.DUMMYFUNCTION("""COMPUTED_VALUE"""),"Yes")</f>
        <v>Yes</v>
      </c>
      <c r="H55" s="29" t="str">
        <f>IFERROR(__xludf.DUMMYFUNCTION("""COMPUTED_VALUE"""),"No")</f>
        <v>No</v>
      </c>
      <c r="I55" s="29"/>
      <c r="J55" s="29"/>
      <c r="K55" s="29" t="str">
        <f>IFERROR(__xludf.DUMMYFUNCTION("""COMPUTED_VALUE"""),"UK")</f>
        <v>UK</v>
      </c>
      <c r="L55" s="30" t="str">
        <f>IFERROR(__xludf.DUMMYFUNCTION("""COMPUTED_VALUE"""),"amazon.co.uk")</f>
        <v>amazon.co.uk</v>
      </c>
      <c r="N55" s="28"/>
    </row>
    <row r="56">
      <c r="A56" s="29" t="str">
        <f>IFERROR(__xludf.DUMMYFUNCTION("""COMPUTED_VALUE"""),"DS923+")</f>
        <v>DS923+</v>
      </c>
      <c r="B56" s="29" t="str">
        <f>IFERROR(__xludf.DUMMYFUNCTION("""COMPUTED_VALUE"""),"7.2.1-69057")</f>
        <v>7.2.1-69057</v>
      </c>
      <c r="C56" s="29" t="str">
        <f>IFERROR(__xludf.DUMMYFUNCTION("""COMPUTED_VALUE"""),"Nemix")</f>
        <v>Nemix</v>
      </c>
      <c r="D56" s="29" t="str">
        <f>IFERROR(__xludf.DUMMYFUNCTION("""COMPUTED_VALUE"""),"MSE21300-628K02-G")</f>
        <v>MSE21300-628K02-G</v>
      </c>
      <c r="E56" s="29">
        <f>IFERROR(__xludf.DUMMYFUNCTION("""COMPUTED_VALUE"""),1.0)</f>
        <v>1</v>
      </c>
      <c r="F56" s="29">
        <f>IFERROR(__xludf.DUMMYFUNCTION("""COMPUTED_VALUE"""),20.0)</f>
        <v>20</v>
      </c>
      <c r="G56" s="29" t="str">
        <f>IFERROR(__xludf.DUMMYFUNCTION("""COMPUTED_VALUE"""),"Yes")</f>
        <v>Yes</v>
      </c>
      <c r="H56" s="29" t="str">
        <f>IFERROR(__xludf.DUMMYFUNCTION("""COMPUTED_VALUE"""),"No")</f>
        <v>No</v>
      </c>
      <c r="I56" s="29" t="str">
        <f>IFERROR(__xludf.DUMMYFUNCTION("""COMPUTED_VALUE"""),"Added to original 4GB memory and works fine")</f>
        <v>Added to original 4GB memory and works fine</v>
      </c>
      <c r="J56" s="29" t="str">
        <f>IFERROR(__xludf.DUMMYFUNCTION("""COMPUTED_VALUE"""),"None")</f>
        <v>None</v>
      </c>
      <c r="K56" s="29" t="str">
        <f>IFERROR(__xludf.DUMMYFUNCTION("""COMPUTED_VALUE"""),"USA but delivered to Australia")</f>
        <v>USA but delivered to Australia</v>
      </c>
      <c r="L56" s="30" t="str">
        <f>IFERROR(__xludf.DUMMYFUNCTION("""COMPUTED_VALUE"""),"Amazon.com")</f>
        <v>Amazon.com</v>
      </c>
      <c r="N56" s="28"/>
    </row>
    <row r="57">
      <c r="A57" s="29" t="str">
        <f>IFERROR(__xludf.DUMMYFUNCTION("""COMPUTED_VALUE"""),"DS923+")</f>
        <v>DS923+</v>
      </c>
      <c r="B57" s="29" t="str">
        <f>IFERROR(__xludf.DUMMYFUNCTION("""COMPUTED_VALUE"""),"7.2.1-69057 Update 5")</f>
        <v>7.2.1-69057 Update 5</v>
      </c>
      <c r="C57" s="29" t="str">
        <f>IFERROR(__xludf.DUMMYFUNCTION("""COMPUTED_VALUE"""),"Kingston")</f>
        <v>Kingston</v>
      </c>
      <c r="D57" s="29" t="str">
        <f>IFERROR(__xludf.DUMMYFUNCTION("""COMPUTED_VALUE"""),"KSM26SED8/16HD")</f>
        <v>KSM26SED8/16HD</v>
      </c>
      <c r="E57" s="29">
        <f>IFERROR(__xludf.DUMMYFUNCTION("""COMPUTED_VALUE"""),2.0)</f>
        <v>2</v>
      </c>
      <c r="F57" s="29">
        <f>IFERROR(__xludf.DUMMYFUNCTION("""COMPUTED_VALUE"""),16.0)</f>
        <v>16</v>
      </c>
      <c r="G57" s="29" t="str">
        <f>IFERROR(__xludf.DUMMYFUNCTION("""COMPUTED_VALUE"""),"Yes")</f>
        <v>Yes</v>
      </c>
      <c r="H57" s="29" t="str">
        <f>IFERROR(__xludf.DUMMYFUNCTION("""COMPUTED_VALUE"""),"No")</f>
        <v>No</v>
      </c>
      <c r="I57" s="29" t="str">
        <f>IFERROR(__xludf.DUMMYFUNCTION("""COMPUTED_VALUE"""),"Product description : 16GB 2666MHz DDR4 ECC CL19 SODIMM 2Rx8 Hynix D")</f>
        <v>Product description : 16GB 2666MHz DDR4 ECC CL19 SODIMM 2Rx8 Hynix D</v>
      </c>
      <c r="J57" s="29" t="str">
        <f>IFERROR(__xludf.DUMMYFUNCTION("""COMPUTED_VALUE"""),"r/Own-Collar2624")</f>
        <v>r/Own-Collar2624</v>
      </c>
      <c r="K57" s="29" t="str">
        <f>IFERROR(__xludf.DUMMYFUNCTION("""COMPUTED_VALUE"""),"France")</f>
        <v>France</v>
      </c>
      <c r="L57" s="30" t="str">
        <f>IFERROR(__xludf.DUMMYFUNCTION("""COMPUTED_VALUE"""),"amazon.com")</f>
        <v>amazon.com</v>
      </c>
      <c r="N57" s="28"/>
    </row>
    <row r="58">
      <c r="A58" s="29" t="str">
        <f>IFERROR(__xludf.DUMMYFUNCTION("""COMPUTED_VALUE"""),"DS923+")</f>
        <v>DS923+</v>
      </c>
      <c r="B58" s="29" t="str">
        <f>IFERROR(__xludf.DUMMYFUNCTION("""COMPUTED_VALUE"""),"7.2.1-69057 Update 5")</f>
        <v>7.2.1-69057 Update 5</v>
      </c>
      <c r="C58" s="29" t="str">
        <f>IFERROR(__xludf.DUMMYFUNCTION("""COMPUTED_VALUE"""),"OWC")</f>
        <v>OWC</v>
      </c>
      <c r="D58" s="29" t="str">
        <f>IFERROR(__xludf.DUMMYFUNCTION("""COMPUTED_VALUE"""),"OWC2C6D42R816GB")</f>
        <v>OWC2C6D42R816GB</v>
      </c>
      <c r="E58" s="29">
        <f>IFERROR(__xludf.DUMMYFUNCTION("""COMPUTED_VALUE"""),1.0)</f>
        <v>1</v>
      </c>
      <c r="F58" s="29">
        <f>IFERROR(__xludf.DUMMYFUNCTION("""COMPUTED_VALUE"""),20.0)</f>
        <v>20</v>
      </c>
      <c r="G58" s="29" t="str">
        <f>IFERROR(__xludf.DUMMYFUNCTION("""COMPUTED_VALUE"""),"Yes")</f>
        <v>Yes</v>
      </c>
      <c r="H58" s="29" t="str">
        <f>IFERROR(__xludf.DUMMYFUNCTION("""COMPUTED_VALUE"""),"No")</f>
        <v>No</v>
      </c>
      <c r="I58" s="29"/>
      <c r="J58" s="29"/>
      <c r="K58" s="29" t="str">
        <f>IFERROR(__xludf.DUMMYFUNCTION("""COMPUTED_VALUE"""),"USA")</f>
        <v>USA</v>
      </c>
      <c r="L58" s="30" t="str">
        <f>IFERROR(__xludf.DUMMYFUNCTION("""COMPUTED_VALUE"""),"Amazon.ca")</f>
        <v>Amazon.ca</v>
      </c>
      <c r="N58" s="28"/>
    </row>
    <row r="59">
      <c r="A59" s="29" t="str">
        <f>IFERROR(__xludf.DUMMYFUNCTION("""COMPUTED_VALUE"""),"DS923+")</f>
        <v>DS923+</v>
      </c>
      <c r="B59" s="29" t="str">
        <f>IFERROR(__xludf.DUMMYFUNCTION("""COMPUTED_VALUE"""),"7.2.1-69057 Update 4")</f>
        <v>7.2.1-69057 Update 4</v>
      </c>
      <c r="C59" s="29" t="str">
        <f>IFERROR(__xludf.DUMMYFUNCTION("""COMPUTED_VALUE"""),"OWC")</f>
        <v>OWC</v>
      </c>
      <c r="D59" s="29" t="str">
        <f>IFERROR(__xludf.DUMMYFUNCTION("""COMPUTED_VALUE"""),"OWC2C6D42R816GB")</f>
        <v>OWC2C6D42R816GB</v>
      </c>
      <c r="E59" s="29">
        <f>IFERROR(__xludf.DUMMYFUNCTION("""COMPUTED_VALUE"""),1.0)</f>
        <v>1</v>
      </c>
      <c r="F59" s="29">
        <f>IFERROR(__xludf.DUMMYFUNCTION("""COMPUTED_VALUE"""),20.0)</f>
        <v>20</v>
      </c>
      <c r="G59" s="29" t="str">
        <f>IFERROR(__xludf.DUMMYFUNCTION("""COMPUTED_VALUE"""),"Yes")</f>
        <v>Yes</v>
      </c>
      <c r="H59" s="29" t="str">
        <f>IFERROR(__xludf.DUMMYFUNCTION("""COMPUTED_VALUE"""),"No")</f>
        <v>No</v>
      </c>
      <c r="I59" s="29"/>
      <c r="J59" s="29"/>
      <c r="K59" s="29" t="str">
        <f>IFERROR(__xludf.DUMMYFUNCTION("""COMPUTED_VALUE"""),"USA")</f>
        <v>USA</v>
      </c>
      <c r="L59" s="30" t="str">
        <f>IFERROR(__xludf.DUMMYFUNCTION("""COMPUTED_VALUE"""),"amazon.com")</f>
        <v>amazon.com</v>
      </c>
      <c r="N59" s="28"/>
    </row>
    <row r="60">
      <c r="A60" s="29" t="str">
        <f>IFERROR(__xludf.DUMMYFUNCTION("""COMPUTED_VALUE"""),"DS923+")</f>
        <v>DS923+</v>
      </c>
      <c r="B60" s="29" t="str">
        <f>IFERROR(__xludf.DUMMYFUNCTION("""COMPUTED_VALUE"""),"7.2.2-72806")</f>
        <v>7.2.2-72806</v>
      </c>
      <c r="C60" s="29" t="str">
        <f>IFERROR(__xludf.DUMMYFUNCTION("""COMPUTED_VALUE"""),"Crucial")</f>
        <v>Crucial</v>
      </c>
      <c r="D60" s="29" t="str">
        <f>IFERROR(__xludf.DUMMYFUNCTION("""COMPUTED_VALUE"""),"CT8G4SFRA32A")</f>
        <v>CT8G4SFRA32A</v>
      </c>
      <c r="E60" s="29">
        <f>IFERROR(__xludf.DUMMYFUNCTION("""COMPUTED_VALUE"""),1.0)</f>
        <v>1</v>
      </c>
      <c r="F60" s="29">
        <f>IFERROR(__xludf.DUMMYFUNCTION("""COMPUTED_VALUE"""),12.0)</f>
        <v>12</v>
      </c>
      <c r="G60" s="29" t="str">
        <f>IFERROR(__xludf.DUMMYFUNCTION("""COMPUTED_VALUE"""),"Yes")</f>
        <v>Yes</v>
      </c>
      <c r="H60" s="29" t="str">
        <f>IFERROR(__xludf.DUMMYFUNCTION("""COMPUTED_VALUE"""),"No")</f>
        <v>No</v>
      </c>
      <c r="I60" s="29"/>
      <c r="J60" s="29" t="str">
        <f>IFERROR(__xludf.DUMMYFUNCTION("""COMPUTED_VALUE"""),"jeffashy")</f>
        <v>jeffashy</v>
      </c>
      <c r="K60" s="29"/>
      <c r="L60" s="29" t="str">
        <f>IFERROR(__xludf.DUMMYFUNCTION("""COMPUTED_VALUE"""),"Amazon")</f>
        <v>Amazon</v>
      </c>
      <c r="N60" s="28"/>
    </row>
    <row r="61">
      <c r="A61" s="29" t="str">
        <f>IFERROR(__xludf.DUMMYFUNCTION("""COMPUTED_VALUE"""),"DS923+")</f>
        <v>DS923+</v>
      </c>
      <c r="B61" s="29" t="str">
        <f>IFERROR(__xludf.DUMMYFUNCTION("""COMPUTED_VALUE"""),"7.2.1-69057 Update 4")</f>
        <v>7.2.1-69057 Update 4</v>
      </c>
      <c r="C61" s="29" t="str">
        <f>IFERROR(__xludf.DUMMYFUNCTION("""COMPUTED_VALUE"""),"MICRON")</f>
        <v>MICRON</v>
      </c>
      <c r="D61" s="29" t="str">
        <f>IFERROR(__xludf.DUMMYFUNCTION("""COMPUTED_VALUE"""),"MTA9ASF2G72HZ-3G2R")</f>
        <v>MTA9ASF2G72HZ-3G2R</v>
      </c>
      <c r="E61" s="29">
        <f>IFERROR(__xludf.DUMMYFUNCTION("""COMPUTED_VALUE"""),2.0)</f>
        <v>2</v>
      </c>
      <c r="F61" s="29">
        <f>IFERROR(__xludf.DUMMYFUNCTION("""COMPUTED_VALUE"""),32.0)</f>
        <v>32</v>
      </c>
      <c r="G61" s="29" t="str">
        <f>IFERROR(__xludf.DUMMYFUNCTION("""COMPUTED_VALUE"""),"Yes")</f>
        <v>Yes</v>
      </c>
      <c r="H61" s="29" t="str">
        <f>IFERROR(__xludf.DUMMYFUNCTION("""COMPUTED_VALUE"""),"No")</f>
        <v>No</v>
      </c>
      <c r="I61" s="29"/>
      <c r="J61" s="29"/>
      <c r="K61" s="29" t="str">
        <f>IFERROR(__xludf.DUMMYFUNCTION("""COMPUTED_VALUE"""),"UK")</f>
        <v>UK</v>
      </c>
      <c r="L61" s="29" t="str">
        <f>IFERROR(__xludf.DUMMYFUNCTION("""COMPUTED_VALUE"""),"Micron")</f>
        <v>Micron</v>
      </c>
      <c r="N61" s="28"/>
    </row>
    <row r="62">
      <c r="A62" s="29" t="str">
        <f>IFERROR(__xludf.DUMMYFUNCTION("""COMPUTED_VALUE"""),"DS923+")</f>
        <v>DS923+</v>
      </c>
      <c r="B62" s="29" t="str">
        <f>IFERROR(__xludf.DUMMYFUNCTION("""COMPUTED_VALUE"""),"7.2.1-69057 Update 5")</f>
        <v>7.2.1-69057 Update 5</v>
      </c>
      <c r="C62" s="29" t="str">
        <f>IFERROR(__xludf.DUMMYFUNCTION("""COMPUTED_VALUE"""),"OWC")</f>
        <v>OWC</v>
      </c>
      <c r="D62" s="29" t="str">
        <f>IFERROR(__xludf.DUMMYFUNCTION("""COMPUTED_VALUE"""),"OWC2C6D42R8032P")</f>
        <v>OWC2C6D42R8032P</v>
      </c>
      <c r="E62" s="29">
        <f>IFERROR(__xludf.DUMMYFUNCTION("""COMPUTED_VALUE"""),2.0)</f>
        <v>2</v>
      </c>
      <c r="F62" s="29">
        <f>IFERROR(__xludf.DUMMYFUNCTION("""COMPUTED_VALUE"""),32.0)</f>
        <v>32</v>
      </c>
      <c r="G62" s="29" t="str">
        <f>IFERROR(__xludf.DUMMYFUNCTION("""COMPUTED_VALUE"""),"Yes")</f>
        <v>Yes</v>
      </c>
      <c r="H62" s="29" t="str">
        <f>IFERROR(__xludf.DUMMYFUNCTION("""COMPUTED_VALUE"""),"No")</f>
        <v>No</v>
      </c>
      <c r="I62" s="29" t="str">
        <f>IFERROR(__xludf.DUMMYFUNCTION("""COMPUTED_VALUE"""),"Removed pre-installed 4 Gb, replaced with 2 x 16 = 32 Gb. No errors, works great.")</f>
        <v>Removed pre-installed 4 Gb, replaced with 2 x 16 = 32 Gb. No errors, works great.</v>
      </c>
      <c r="J62" s="29"/>
      <c r="K62" s="29" t="str">
        <f>IFERROR(__xludf.DUMMYFUNCTION("""COMPUTED_VALUE"""),"USA")</f>
        <v>USA</v>
      </c>
      <c r="L62" s="30" t="str">
        <f>IFERROR(__xludf.DUMMYFUNCTION("""COMPUTED_VALUE"""),"amazon.com")</f>
        <v>amazon.com</v>
      </c>
      <c r="N62" s="28"/>
    </row>
    <row r="63">
      <c r="A63" s="29" t="str">
        <f>IFERROR(__xludf.DUMMYFUNCTION("""COMPUTED_VALUE"""),"DS923+")</f>
        <v>DS923+</v>
      </c>
      <c r="B63" s="29" t="str">
        <f>IFERROR(__xludf.DUMMYFUNCTION("""COMPUTED_VALUE"""),"7.2.2-72806")</f>
        <v>7.2.2-72806</v>
      </c>
      <c r="C63" s="29" t="str">
        <f>IFERROR(__xludf.DUMMYFUNCTION("""COMPUTED_VALUE"""),"Kingston")</f>
        <v>Kingston</v>
      </c>
      <c r="D63" s="29" t="str">
        <f>IFERROR(__xludf.DUMMYFUNCTION("""COMPUTED_VALUE"""),"KSM32SED8/32HC")</f>
        <v>KSM32SED8/32HC</v>
      </c>
      <c r="E63" s="29">
        <f>IFERROR(__xludf.DUMMYFUNCTION("""COMPUTED_VALUE"""),1.0)</f>
        <v>1</v>
      </c>
      <c r="F63" s="29">
        <f>IFERROR(__xludf.DUMMYFUNCTION("""COMPUTED_VALUE"""),36.0)</f>
        <v>36</v>
      </c>
      <c r="G63" s="29" t="str">
        <f>IFERROR(__xludf.DUMMYFUNCTION("""COMPUTED_VALUE"""),"Yes")</f>
        <v>Yes</v>
      </c>
      <c r="H63" s="29" t="str">
        <f>IFERROR(__xludf.DUMMYFUNCTION("""COMPUTED_VALUE"""),"No")</f>
        <v>No</v>
      </c>
      <c r="I63" s="29"/>
      <c r="J63" s="29"/>
      <c r="K63" s="29" t="str">
        <f>IFERROR(__xludf.DUMMYFUNCTION("""COMPUTED_VALUE"""),"Bulgaria")</f>
        <v>Bulgaria</v>
      </c>
      <c r="L63" s="29"/>
      <c r="N63" s="28"/>
    </row>
    <row r="64">
      <c r="A64" s="29" t="str">
        <f>IFERROR(__xludf.DUMMYFUNCTION("""COMPUTED_VALUE"""),"DS923+")</f>
        <v>DS923+</v>
      </c>
      <c r="B64" s="29" t="str">
        <f>IFERROR(__xludf.DUMMYFUNCTION("""COMPUTED_VALUE"""),"7.2.2-72806")</f>
        <v>7.2.2-72806</v>
      </c>
      <c r="C64" s="29" t="str">
        <f>IFERROR(__xludf.DUMMYFUNCTION("""COMPUTED_VALUE"""),"OWC")</f>
        <v>OWC</v>
      </c>
      <c r="D64" s="29" t="str">
        <f>IFERROR(__xludf.DUMMYFUNCTION("""COMPUTED_VALUE"""),"OWC2C6D42R816GB")</f>
        <v>OWC2C6D42R816GB</v>
      </c>
      <c r="E64" s="29">
        <f>IFERROR(__xludf.DUMMYFUNCTION("""COMPUTED_VALUE"""),2.0)</f>
        <v>2</v>
      </c>
      <c r="F64" s="29">
        <f>IFERROR(__xludf.DUMMYFUNCTION("""COMPUTED_VALUE"""),32.0)</f>
        <v>32</v>
      </c>
      <c r="G64" s="29" t="str">
        <f>IFERROR(__xludf.DUMMYFUNCTION("""COMPUTED_VALUE"""),"Yes")</f>
        <v>Yes</v>
      </c>
      <c r="H64" s="29" t="str">
        <f>IFERROR(__xludf.DUMMYFUNCTION("""COMPUTED_VALUE"""),"No")</f>
        <v>No</v>
      </c>
      <c r="I64" s="29"/>
      <c r="J64" s="29"/>
      <c r="K64" s="29" t="str">
        <f>IFERROR(__xludf.DUMMYFUNCTION("""COMPUTED_VALUE"""),"USA")</f>
        <v>USA</v>
      </c>
      <c r="L64" s="30" t="str">
        <f>IFERROR(__xludf.DUMMYFUNCTION("""COMPUTED_VALUE"""),"amazon.ca")</f>
        <v>amazon.ca</v>
      </c>
      <c r="N64" s="28"/>
    </row>
    <row r="65">
      <c r="A65" s="29" t="str">
        <f>IFERROR(__xludf.DUMMYFUNCTION("""COMPUTED_VALUE"""),"DS923+")</f>
        <v>DS923+</v>
      </c>
      <c r="B65" s="29" t="str">
        <f>IFERROR(__xludf.DUMMYFUNCTION("""COMPUTED_VALUE"""),"7.2.2-72806 Update 1")</f>
        <v>7.2.2-72806 Update 1</v>
      </c>
      <c r="C65" s="29" t="str">
        <f>IFERROR(__xludf.DUMMYFUNCTION("""COMPUTED_VALUE"""),"Virtium")</f>
        <v>Virtium</v>
      </c>
      <c r="D65" s="29" t="str">
        <f>IFERROR(__xludf.DUMMYFUNCTION("""COMPUTED_VALUE"""),"VL41A4G66A-N6SB-S1")</f>
        <v>VL41A4G66A-N6SB-S1</v>
      </c>
      <c r="E65" s="29">
        <f>IFERROR(__xludf.DUMMYFUNCTION("""COMPUTED_VALUE"""),2.0)</f>
        <v>2</v>
      </c>
      <c r="F65" s="29">
        <f>IFERROR(__xludf.DUMMYFUNCTION("""COMPUTED_VALUE"""),64.0)</f>
        <v>64</v>
      </c>
      <c r="G65" s="29" t="str">
        <f>IFERROR(__xludf.DUMMYFUNCTION("""COMPUTED_VALUE"""),"Yes")</f>
        <v>Yes</v>
      </c>
      <c r="H65" s="29" t="str">
        <f>IFERROR(__xludf.DUMMYFUNCTION("""COMPUTED_VALUE"""),"No")</f>
        <v>No</v>
      </c>
      <c r="I65" s="29"/>
      <c r="J65" s="29" t="str">
        <f>IFERROR(__xludf.DUMMYFUNCTION("""COMPUTED_VALUE"""),"u/Fant2")</f>
        <v>u/Fant2</v>
      </c>
      <c r="K65" s="29" t="str">
        <f>IFERROR(__xludf.DUMMYFUNCTION("""COMPUTED_VALUE"""),"USA")</f>
        <v>USA</v>
      </c>
      <c r="L65" s="30" t="str">
        <f>IFERROR(__xludf.DUMMYFUNCTION("""COMPUTED_VALUE"""),"ebay.com")</f>
        <v>ebay.com</v>
      </c>
      <c r="N65" s="28"/>
    </row>
    <row r="66">
      <c r="A66" s="29" t="str">
        <f>IFERROR(__xludf.DUMMYFUNCTION("""COMPUTED_VALUE"""),"DS923+")</f>
        <v>DS923+</v>
      </c>
      <c r="B66" s="29" t="str">
        <f>IFERROR(__xludf.DUMMYFUNCTION("""COMPUTED_VALUE"""),"7.2.2-72806 Update 1")</f>
        <v>7.2.2-72806 Update 1</v>
      </c>
      <c r="C66" s="29" t="str">
        <f>IFERROR(__xludf.DUMMYFUNCTION("""COMPUTED_VALUE"""),"NEMIX")</f>
        <v>NEMIX</v>
      </c>
      <c r="D66" s="29" t="str">
        <f>IFERROR(__xludf.DUMMYFUNCTION("""COMPUTED_VALUE"""),"MSE21300-628")</f>
        <v>MSE21300-628</v>
      </c>
      <c r="E66" s="29">
        <f>IFERROR(__xludf.DUMMYFUNCTION("""COMPUTED_VALUE"""),2.0)</f>
        <v>2</v>
      </c>
      <c r="F66" s="29">
        <f>IFERROR(__xludf.DUMMYFUNCTION("""COMPUTED_VALUE"""),32.0)</f>
        <v>32</v>
      </c>
      <c r="G66" s="29" t="str">
        <f>IFERROR(__xludf.DUMMYFUNCTION("""COMPUTED_VALUE"""),"Yes")</f>
        <v>Yes</v>
      </c>
      <c r="H66" s="29" t="str">
        <f>IFERROR(__xludf.DUMMYFUNCTION("""COMPUTED_VALUE"""),"No")</f>
        <v>No</v>
      </c>
      <c r="I66" s="29" t="str">
        <f>IFERROR(__xludf.DUMMYFUNCTION("""COMPUTED_VALUE"""),"2666 MT/s works, while 3200 MT/s modules from the same manufacturer did not.")</f>
        <v>2666 MT/s works, while 3200 MT/s modules from the same manufacturer did not.</v>
      </c>
      <c r="J66" s="29"/>
      <c r="K66" s="29" t="str">
        <f>IFERROR(__xludf.DUMMYFUNCTION("""COMPUTED_VALUE"""),"USA")</f>
        <v>USA</v>
      </c>
      <c r="L66" s="30" t="str">
        <f>IFERROR(__xludf.DUMMYFUNCTION("""COMPUTED_VALUE"""),"amazon.com")</f>
        <v>amazon.com</v>
      </c>
      <c r="N66" s="28"/>
    </row>
    <row r="67">
      <c r="A67" s="29" t="str">
        <f>IFERROR(__xludf.DUMMYFUNCTION("""COMPUTED_VALUE"""),"DS923+")</f>
        <v>DS923+</v>
      </c>
      <c r="B67" s="29" t="str">
        <f>IFERROR(__xludf.DUMMYFUNCTION("""COMPUTED_VALUE"""),"7.2.2-72806 Update 2")</f>
        <v>7.2.2-72806 Update 2</v>
      </c>
      <c r="C67" s="29" t="str">
        <f>IFERROR(__xludf.DUMMYFUNCTION("""COMPUTED_VALUE"""),"Kingston")</f>
        <v>Kingston</v>
      </c>
      <c r="D67" s="29" t="str">
        <f>IFERROR(__xludf.DUMMYFUNCTION("""COMPUTED_VALUE"""),"KSM26SED8/16HD")</f>
        <v>KSM26SED8/16HD</v>
      </c>
      <c r="E67" s="29">
        <f>IFERROR(__xludf.DUMMYFUNCTION("""COMPUTED_VALUE"""),1.0)</f>
        <v>1</v>
      </c>
      <c r="F67" s="29">
        <f>IFERROR(__xludf.DUMMYFUNCTION("""COMPUTED_VALUE"""),20.0)</f>
        <v>20</v>
      </c>
      <c r="G67" s="29" t="str">
        <f>IFERROR(__xludf.DUMMYFUNCTION("""COMPUTED_VALUE"""),"Yes")</f>
        <v>Yes</v>
      </c>
      <c r="H67" s="29" t="str">
        <f>IFERROR(__xludf.DUMMYFUNCTION("""COMPUTED_VALUE"""),"No")</f>
        <v>No</v>
      </c>
      <c r="I67" s="29" t="str">
        <f>IFERROR(__xludf.DUMMYFUNCTION("""COMPUTED_VALUE"""),"Kingston 16 GB 2666 MHz CL19 + Synology D4ES02-4G (factory)")</f>
        <v>Kingston 16 GB 2666 MHz CL19 + Synology D4ES02-4G (factory)</v>
      </c>
      <c r="J67" s="29"/>
      <c r="K67" s="29" t="str">
        <f>IFERROR(__xludf.DUMMYFUNCTION("""COMPUTED_VALUE"""),"Poland")</f>
        <v>Poland</v>
      </c>
      <c r="L67" s="30" t="str">
        <f>IFERROR(__xludf.DUMMYFUNCTION("""COMPUTED_VALUE"""),"morele.net")</f>
        <v>morele.net</v>
      </c>
      <c r="N67" s="28"/>
    </row>
    <row r="68">
      <c r="A68" s="29" t="str">
        <f>IFERROR(__xludf.DUMMYFUNCTION("""COMPUTED_VALUE"""),"DS923+")</f>
        <v>DS923+</v>
      </c>
      <c r="B68" s="29" t="str">
        <f>IFERROR(__xludf.DUMMYFUNCTION("""COMPUTED_VALUE"""),"7.2.2-72806")</f>
        <v>7.2.2-72806</v>
      </c>
      <c r="C68" s="29" t="str">
        <f>IFERROR(__xludf.DUMMYFUNCTION("""COMPUTED_VALUE"""),"Kingston")</f>
        <v>Kingston</v>
      </c>
      <c r="D68" s="29" t="str">
        <f>IFERROR(__xludf.DUMMYFUNCTION("""COMPUTED_VALUE"""),"KSM32SED8/32HC")</f>
        <v>KSM32SED8/32HC</v>
      </c>
      <c r="E68" s="29">
        <f>IFERROR(__xludf.DUMMYFUNCTION("""COMPUTED_VALUE"""),2.0)</f>
        <v>2</v>
      </c>
      <c r="F68" s="29">
        <f>IFERROR(__xludf.DUMMYFUNCTION("""COMPUTED_VALUE"""),64.0)</f>
        <v>64</v>
      </c>
      <c r="G68" s="29" t="str">
        <f>IFERROR(__xludf.DUMMYFUNCTION("""COMPUTED_VALUE"""),"Yes")</f>
        <v>Yes</v>
      </c>
      <c r="H68" s="29" t="str">
        <f>IFERROR(__xludf.DUMMYFUNCTION("""COMPUTED_VALUE"""),"No")</f>
        <v>No</v>
      </c>
      <c r="I68" s="29" t="str">
        <f>IFERROR(__xludf.DUMMYFUNCTION("""COMPUTED_VALUE"""),"no")</f>
        <v>no</v>
      </c>
      <c r="J68" s="29" t="str">
        <f>IFERROR(__xludf.DUMMYFUNCTION("""COMPUTED_VALUE"""),"cakc70")</f>
        <v>cakc70</v>
      </c>
      <c r="K68" s="29" t="str">
        <f>IFERROR(__xludf.DUMMYFUNCTION("""COMPUTED_VALUE"""),"Russia")</f>
        <v>Russia</v>
      </c>
      <c r="L68" s="29" t="str">
        <f>IFERROR(__xludf.DUMMYFUNCTION("""COMPUTED_VALUE"""),"DNS")</f>
        <v>DNS</v>
      </c>
      <c r="N68" s="28"/>
    </row>
    <row r="69">
      <c r="A69" s="29" t="str">
        <f>IFERROR(__xludf.DUMMYFUNCTION("""COMPUTED_VALUE"""),"DS923+")</f>
        <v>DS923+</v>
      </c>
      <c r="B69" s="29" t="str">
        <f>IFERROR(__xludf.DUMMYFUNCTION("""COMPUTED_VALUE"""),"7.2.2-72806 Update 2")</f>
        <v>7.2.2-72806 Update 2</v>
      </c>
      <c r="C69" s="29" t="str">
        <f>IFERROR(__xludf.DUMMYFUNCTION("""COMPUTED_VALUE"""),"NEMIX")</f>
        <v>NEMIX</v>
      </c>
      <c r="D69" s="29" t="str">
        <f>IFERROR(__xludf.DUMMYFUNCTION("""COMPUTED_VALUE"""),"MSE21300-628K02-G")</f>
        <v>MSE21300-628K02-G</v>
      </c>
      <c r="E69" s="29">
        <f>IFERROR(__xludf.DUMMYFUNCTION("""COMPUTED_VALUE"""),2.0)</f>
        <v>2</v>
      </c>
      <c r="F69" s="29">
        <f>IFERROR(__xludf.DUMMYFUNCTION("""COMPUTED_VALUE"""),32.0)</f>
        <v>32</v>
      </c>
      <c r="G69" s="29" t="str">
        <f>IFERROR(__xludf.DUMMYFUNCTION("""COMPUTED_VALUE"""),"Yes")</f>
        <v>Yes</v>
      </c>
      <c r="H69" s="29" t="str">
        <f>IFERROR(__xludf.DUMMYFUNCTION("""COMPUTED_VALUE"""),"No")</f>
        <v>No</v>
      </c>
      <c r="I69" s="29" t="str">
        <f>IFERROR(__xludf.DUMMYFUNCTION("""COMPUTED_VALUE"""),"Upgrade significantly improved performance of late-ish game Satisfactory server. Was using stock Synology 4GB previously.")</f>
        <v>Upgrade significantly improved performance of late-ish game Satisfactory server. Was using stock Synology 4GB previously.</v>
      </c>
      <c r="J69" s="29" t="str">
        <f>IFERROR(__xludf.DUMMYFUNCTION("""COMPUTED_VALUE"""),"u/Snerfderkler")</f>
        <v>u/Snerfderkler</v>
      </c>
      <c r="K69" s="29" t="str">
        <f>IFERROR(__xludf.DUMMYFUNCTION("""COMPUTED_VALUE"""),"USA")</f>
        <v>USA</v>
      </c>
      <c r="L69" s="30" t="str">
        <f>IFERROR(__xludf.DUMMYFUNCTION("""COMPUTED_VALUE"""),"amazon.com")</f>
        <v>amazon.com</v>
      </c>
      <c r="N69" s="28"/>
    </row>
    <row r="70">
      <c r="A70" s="29" t="str">
        <f>IFERROR(__xludf.DUMMYFUNCTION("""COMPUTED_VALUE"""),"DS923+")</f>
        <v>DS923+</v>
      </c>
      <c r="B70" s="29" t="str">
        <f>IFERROR(__xludf.DUMMYFUNCTION("""COMPUTED_VALUE"""),"7.2.2-72806 Update 2")</f>
        <v>7.2.2-72806 Update 2</v>
      </c>
      <c r="C70" s="29" t="str">
        <f>IFERROR(__xludf.DUMMYFUNCTION("""COMPUTED_VALUE"""),"Kingston")</f>
        <v>Kingston</v>
      </c>
      <c r="D70" s="29" t="str">
        <f>IFERROR(__xludf.DUMMYFUNCTION("""COMPUTED_VALUE"""),"KSM26SED8/16HD")</f>
        <v>KSM26SED8/16HD</v>
      </c>
      <c r="E70" s="29">
        <f>IFERROR(__xludf.DUMMYFUNCTION("""COMPUTED_VALUE"""),2.0)</f>
        <v>2</v>
      </c>
      <c r="F70" s="29">
        <f>IFERROR(__xludf.DUMMYFUNCTION("""COMPUTED_VALUE"""),32.0)</f>
        <v>32</v>
      </c>
      <c r="G70" s="29" t="str">
        <f>IFERROR(__xludf.DUMMYFUNCTION("""COMPUTED_VALUE"""),"Yes")</f>
        <v>Yes</v>
      </c>
      <c r="H70" s="29" t="str">
        <f>IFERROR(__xludf.DUMMYFUNCTION("""COMPUTED_VALUE"""),"No")</f>
        <v>No</v>
      </c>
      <c r="I70" s="29"/>
      <c r="J70" s="29" t="str">
        <f>IFERROR(__xludf.DUMMYFUNCTION("""COMPUTED_VALUE"""),"u/Marusko1")</f>
        <v>u/Marusko1</v>
      </c>
      <c r="K70" s="29" t="str">
        <f>IFERROR(__xludf.DUMMYFUNCTION("""COMPUTED_VALUE"""),"Slovakia")</f>
        <v>Slovakia</v>
      </c>
      <c r="L70" s="30" t="str">
        <f>IFERROR(__xludf.DUMMYFUNCTION("""COMPUTED_VALUE"""),"alza.sk")</f>
        <v>alza.sk</v>
      </c>
      <c r="N70" s="28"/>
    </row>
    <row r="71">
      <c r="A71" s="29" t="str">
        <f>IFERROR(__xludf.DUMMYFUNCTION("""COMPUTED_VALUE"""),"DS923+")</f>
        <v>DS923+</v>
      </c>
      <c r="B71" s="29" t="str">
        <f>IFERROR(__xludf.DUMMYFUNCTION("""COMPUTED_VALUE"""),"7.2.2-72806 Update 2")</f>
        <v>7.2.2-72806 Update 2</v>
      </c>
      <c r="C71" s="29" t="str">
        <f>IFERROR(__xludf.DUMMYFUNCTION("""COMPUTED_VALUE"""),"Kingston")</f>
        <v>Kingston</v>
      </c>
      <c r="D71" s="29" t="str">
        <f>IFERROR(__xludf.DUMMYFUNCTION("""COMPUTED_VALUE"""),"KSM26SED8/16HD")</f>
        <v>KSM26SED8/16HD</v>
      </c>
      <c r="E71" s="29">
        <f>IFERROR(__xludf.DUMMYFUNCTION("""COMPUTED_VALUE"""),2.0)</f>
        <v>2</v>
      </c>
      <c r="F71" s="29">
        <f>IFERROR(__xludf.DUMMYFUNCTION("""COMPUTED_VALUE"""),32.0)</f>
        <v>32</v>
      </c>
      <c r="G71" s="29" t="str">
        <f>IFERROR(__xludf.DUMMYFUNCTION("""COMPUTED_VALUE"""),"Yes")</f>
        <v>Yes</v>
      </c>
      <c r="H71" s="29" t="str">
        <f>IFERROR(__xludf.DUMMYFUNCTION("""COMPUTED_VALUE"""),"No")</f>
        <v>No</v>
      </c>
      <c r="I71" s="29" t="str">
        <f>IFERROR(__xludf.DUMMYFUNCTION("""COMPUTED_VALUE"""),"Installed fine, no warning on reboot, mem test seemed to pass ok as it rebooted after a few hours")</f>
        <v>Installed fine, no warning on reboot, mem test seemed to pass ok as it rebooted after a few hours</v>
      </c>
      <c r="J71" s="29" t="str">
        <f>IFERROR(__xludf.DUMMYFUNCTION("""COMPUTED_VALUE"""),"N/A")</f>
        <v>N/A</v>
      </c>
      <c r="K71" s="29" t="str">
        <f>IFERROR(__xludf.DUMMYFUNCTION("""COMPUTED_VALUE"""),"UK")</f>
        <v>UK</v>
      </c>
      <c r="L71" s="29" t="str">
        <f>IFERROR(__xludf.DUMMYFUNCTION("""COMPUTED_VALUE"""),"Kingston UK")</f>
        <v>Kingston UK</v>
      </c>
      <c r="N71" s="28"/>
    </row>
    <row r="72">
      <c r="A72" s="29" t="str">
        <f>IFERROR(__xludf.DUMMYFUNCTION("""COMPUTED_VALUE"""),"DS923+")</f>
        <v>DS923+</v>
      </c>
      <c r="B72" s="29" t="str">
        <f>IFERROR(__xludf.DUMMYFUNCTION("""COMPUTED_VALUE"""),"7.2.2-72806 Update 2")</f>
        <v>7.2.2-72806 Update 2</v>
      </c>
      <c r="C72" s="29" t="str">
        <f>IFERROR(__xludf.DUMMYFUNCTION("""COMPUTED_VALUE"""),"Kingston")</f>
        <v>Kingston</v>
      </c>
      <c r="D72" s="29" t="str">
        <f>IFERROR(__xludf.DUMMYFUNCTION("""COMPUTED_VALUE"""),"KSM26SED8/16HD")</f>
        <v>KSM26SED8/16HD</v>
      </c>
      <c r="E72" s="29">
        <f>IFERROR(__xludf.DUMMYFUNCTION("""COMPUTED_VALUE"""),2.0)</f>
        <v>2</v>
      </c>
      <c r="F72" s="29">
        <f>IFERROR(__xludf.DUMMYFUNCTION("""COMPUTED_VALUE"""),32.0)</f>
        <v>32</v>
      </c>
      <c r="G72" s="29" t="str">
        <f>IFERROR(__xludf.DUMMYFUNCTION("""COMPUTED_VALUE"""),"Yes")</f>
        <v>Yes</v>
      </c>
      <c r="H72" s="29" t="str">
        <f>IFERROR(__xludf.DUMMYFUNCTION("""COMPUTED_VALUE"""),"No")</f>
        <v>No</v>
      </c>
      <c r="I72" s="29"/>
      <c r="J72" s="29" t="str">
        <f>IFERROR(__xludf.DUMMYFUNCTION("""COMPUTED_VALUE"""),"u/zdenulo")</f>
        <v>u/zdenulo</v>
      </c>
      <c r="K72" s="29" t="str">
        <f>IFERROR(__xludf.DUMMYFUNCTION("""COMPUTED_VALUE"""),"Czech Republic")</f>
        <v>Czech Republic</v>
      </c>
      <c r="L72" s="30" t="str">
        <f>IFERROR(__xludf.DUMMYFUNCTION("""COMPUTED_VALUE"""),"suntech.cz")</f>
        <v>suntech.cz</v>
      </c>
      <c r="N72" s="28"/>
    </row>
    <row r="73">
      <c r="A73" s="29" t="str">
        <f>IFERROR(__xludf.DUMMYFUNCTION("""COMPUTED_VALUE"""),"DS923+")</f>
        <v>DS923+</v>
      </c>
      <c r="B73" s="29" t="str">
        <f>IFERROR(__xludf.DUMMYFUNCTION("""COMPUTED_VALUE"""),"7.2.2-72806 Update 2")</f>
        <v>7.2.2-72806 Update 2</v>
      </c>
      <c r="C73" s="29" t="str">
        <f>IFERROR(__xludf.DUMMYFUNCTION("""COMPUTED_VALUE"""),"ATP")</f>
        <v>ATP</v>
      </c>
      <c r="D73" s="29" t="str">
        <f>IFERROR(__xludf.DUMMYFUNCTION("""COMPUTED_VALUE"""),"P10407-001 HPE P06210-091")</f>
        <v>P10407-001 HPE P06210-091</v>
      </c>
      <c r="E73" s="29">
        <f>IFERROR(__xludf.DUMMYFUNCTION("""COMPUTED_VALUE"""),1.0)</f>
        <v>1</v>
      </c>
      <c r="F73" s="29">
        <f>IFERROR(__xludf.DUMMYFUNCTION("""COMPUTED_VALUE"""),20.0)</f>
        <v>20</v>
      </c>
      <c r="G73" s="29" t="str">
        <f>IFERROR(__xludf.DUMMYFUNCTION("""COMPUTED_VALUE"""),"Yes")</f>
        <v>Yes</v>
      </c>
      <c r="H73" s="29" t="str">
        <f>IFERROR(__xludf.DUMMYFUNCTION("""COMPUTED_VALUE"""),"No")</f>
        <v>No</v>
      </c>
      <c r="I73" s="29" t="str">
        <f>IFERROR(__xludf.DUMMYFUNCTION("""COMPUTED_VALUE"""),"Suggested by a seller, seems to work fine, full product name is ATP DDR4 16GB 2666MHz ECC SO-DIMM PC4-2666 (X4F16QG8BNTDMW-E-HE1) RAM P10407-001 HPE P06210-091")</f>
        <v>Suggested by a seller, seems to work fine, full product name is ATP DDR4 16GB 2666MHz ECC SO-DIMM PC4-2666 (X4F16QG8BNTDMW-E-HE1) RAM P10407-001 HPE P06210-091</v>
      </c>
      <c r="J73" s="29" t="str">
        <f>IFERROR(__xludf.DUMMYFUNCTION("""COMPUTED_VALUE"""),"u/disem")</f>
        <v>u/disem</v>
      </c>
      <c r="K73" s="29" t="str">
        <f>IFERROR(__xludf.DUMMYFUNCTION("""COMPUTED_VALUE"""),"Ukraine")</f>
        <v>Ukraine</v>
      </c>
      <c r="L73" s="30" t="str">
        <f>IFERROR(__xludf.DUMMYFUNCTION("""COMPUTED_VALUE"""),"hard.rozetka.com.ua")</f>
        <v>hard.rozetka.com.ua</v>
      </c>
      <c r="N73" s="28"/>
    </row>
    <row r="74">
      <c r="A74" s="29" t="str">
        <f>IFERROR(__xludf.DUMMYFUNCTION("""COMPUTED_VALUE"""),"DS923+")</f>
        <v>DS923+</v>
      </c>
      <c r="B74" s="29" t="str">
        <f>IFERROR(__xludf.DUMMYFUNCTION("""COMPUTED_VALUE"""),"7.2.2-72806 Update 3")</f>
        <v>7.2.2-72806 Update 3</v>
      </c>
      <c r="C74" s="29" t="str">
        <f>IFERROR(__xludf.DUMMYFUNCTION("""COMPUTED_VALUE"""),"Crucial")</f>
        <v>Crucial</v>
      </c>
      <c r="D74" s="29" t="str">
        <f>IFERROR(__xludf.DUMMYFUNCTION("""COMPUTED_VALUE"""),"CT2K16G4SFRA32A")</f>
        <v>CT2K16G4SFRA32A</v>
      </c>
      <c r="E74" s="29">
        <f>IFERROR(__xludf.DUMMYFUNCTION("""COMPUTED_VALUE"""),2.0)</f>
        <v>2</v>
      </c>
      <c r="F74" s="29">
        <f>IFERROR(__xludf.DUMMYFUNCTION("""COMPUTED_VALUE"""),32.0)</f>
        <v>32</v>
      </c>
      <c r="G74" s="29" t="str">
        <f>IFERROR(__xludf.DUMMYFUNCTION("""COMPUTED_VALUE"""),"Yes")</f>
        <v>Yes</v>
      </c>
      <c r="H74" s="29" t="str">
        <f>IFERROR(__xludf.DUMMYFUNCTION("""COMPUTED_VALUE"""),"No")</f>
        <v>No</v>
      </c>
      <c r="I74" s="29"/>
      <c r="J74" s="29" t="str">
        <f>IFERROR(__xludf.DUMMYFUNCTION("""COMPUTED_VALUE"""),"u/j_heezy")</f>
        <v>u/j_heezy</v>
      </c>
      <c r="K74" s="29" t="str">
        <f>IFERROR(__xludf.DUMMYFUNCTION("""COMPUTED_VALUE"""),"Canada")</f>
        <v>Canada</v>
      </c>
      <c r="L74" s="30" t="str">
        <f>IFERROR(__xludf.DUMMYFUNCTION("""COMPUTED_VALUE"""),"amazon.ca")</f>
        <v>amazon.ca</v>
      </c>
      <c r="N74" s="28"/>
    </row>
    <row r="75">
      <c r="A75" s="29" t="str">
        <f>IFERROR(__xludf.DUMMYFUNCTION("""COMPUTED_VALUE"""),"DS923+")</f>
        <v>DS923+</v>
      </c>
      <c r="B75" s="29" t="str">
        <f>IFERROR(__xludf.DUMMYFUNCTION("""COMPUTED_VALUE"""),"7.2.2-72806 Update 3")</f>
        <v>7.2.2-72806 Update 3</v>
      </c>
      <c r="C75" s="29" t="str">
        <f>IFERROR(__xludf.DUMMYFUNCTION("""COMPUTED_VALUE"""),"Kingston")</f>
        <v>Kingston</v>
      </c>
      <c r="D75" s="29" t="str">
        <f>IFERROR(__xludf.DUMMYFUNCTION("""COMPUTED_VALUE"""),"KCP432SD8/32")</f>
        <v>KCP432SD8/32</v>
      </c>
      <c r="E75" s="29">
        <f>IFERROR(__xludf.DUMMYFUNCTION("""COMPUTED_VALUE"""),2.0)</f>
        <v>2</v>
      </c>
      <c r="F75" s="29">
        <f>IFERROR(__xludf.DUMMYFUNCTION("""COMPUTED_VALUE"""),64.0)</f>
        <v>64</v>
      </c>
      <c r="G75" s="29" t="str">
        <f>IFERROR(__xludf.DUMMYFUNCTION("""COMPUTED_VALUE"""),"Yes")</f>
        <v>Yes</v>
      </c>
      <c r="H75" s="29" t="str">
        <f>IFERROR(__xludf.DUMMYFUNCTION("""COMPUTED_VALUE"""),"No")</f>
        <v>No</v>
      </c>
      <c r="I75" s="29"/>
      <c r="J75" s="29" t="str">
        <f>IFERROR(__xludf.DUMMYFUNCTION("""COMPUTED_VALUE"""),"u/Autom8IT")</f>
        <v>u/Autom8IT</v>
      </c>
      <c r="K75" s="29" t="str">
        <f>IFERROR(__xludf.DUMMYFUNCTION("""COMPUTED_VALUE"""),"Germany")</f>
        <v>Germany</v>
      </c>
      <c r="L75" s="29" t="str">
        <f>IFERROR(__xludf.DUMMYFUNCTION("""COMPUTED_VALUE"""),"Amazon")</f>
        <v>Amazon</v>
      </c>
      <c r="N75" s="28"/>
    </row>
    <row r="76">
      <c r="A76" s="29" t="str">
        <f>IFERROR(__xludf.DUMMYFUNCTION("""COMPUTED_VALUE"""),"DS923+")</f>
        <v>DS923+</v>
      </c>
      <c r="B76" s="29" t="str">
        <f>IFERROR(__xludf.DUMMYFUNCTION("""COMPUTED_VALUE"""),"7.2.2-72806 Update 3")</f>
        <v>7.2.2-72806 Update 3</v>
      </c>
      <c r="C76" s="29" t="str">
        <f>IFERROR(__xludf.DUMMYFUNCTION("""COMPUTED_VALUE"""),"Kingston")</f>
        <v>Kingston</v>
      </c>
      <c r="D76" s="29" t="str">
        <f>IFERROR(__xludf.DUMMYFUNCTION("""COMPUTED_VALUE"""),"KSM26ED8/16HD")</f>
        <v>KSM26ED8/16HD</v>
      </c>
      <c r="E76" s="29">
        <f>IFERROR(__xludf.DUMMYFUNCTION("""COMPUTED_VALUE"""),2.0)</f>
        <v>2</v>
      </c>
      <c r="F76" s="29">
        <f>IFERROR(__xludf.DUMMYFUNCTION("""COMPUTED_VALUE"""),32.0)</f>
        <v>32</v>
      </c>
      <c r="G76" s="29" t="str">
        <f>IFERROR(__xludf.DUMMYFUNCTION("""COMPUTED_VALUE"""),"Yes")</f>
        <v>Yes</v>
      </c>
      <c r="H76" s="29" t="str">
        <f>IFERROR(__xludf.DUMMYFUNCTION("""COMPUTED_VALUE"""),"No")</f>
        <v>No</v>
      </c>
      <c r="I76" s="29"/>
      <c r="J76" s="29" t="str">
        <f>IFERROR(__xludf.DUMMYFUNCTION("""COMPUTED_VALUE"""),"u/Cute-Elderberry-7866")</f>
        <v>u/Cute-Elderberry-7866</v>
      </c>
      <c r="K76" s="29" t="str">
        <f>IFERROR(__xludf.DUMMYFUNCTION("""COMPUTED_VALUE"""),"USA")</f>
        <v>USA</v>
      </c>
      <c r="L76" s="30" t="str">
        <f>IFERROR(__xludf.DUMMYFUNCTION("""COMPUTED_VALUE"""),"Newegg.com")</f>
        <v>Newegg.com</v>
      </c>
      <c r="N76" s="28"/>
    </row>
    <row r="77">
      <c r="A77" s="29" t="str">
        <f>IFERROR(__xludf.DUMMYFUNCTION("""COMPUTED_VALUE"""),"DS923+")</f>
        <v>DS923+</v>
      </c>
      <c r="B77" s="29" t="str">
        <f>IFERROR(__xludf.DUMMYFUNCTION("""COMPUTED_VALUE"""),"7.2.2-72806 Update 3")</f>
        <v>7.2.2-72806 Update 3</v>
      </c>
      <c r="C77" s="29" t="str">
        <f>IFERROR(__xludf.DUMMYFUNCTION("""COMPUTED_VALUE"""),"Crucial")</f>
        <v>Crucial</v>
      </c>
      <c r="D77" s="29" t="str">
        <f>IFERROR(__xludf.DUMMYFUNCTION("""COMPUTED_VALUE"""),"CT16G4SFRA32A")</f>
        <v>CT16G4SFRA32A</v>
      </c>
      <c r="E77" s="29">
        <f>IFERROR(__xludf.DUMMYFUNCTION("""COMPUTED_VALUE"""),1.0)</f>
        <v>1</v>
      </c>
      <c r="F77" s="29">
        <f>IFERROR(__xludf.DUMMYFUNCTION("""COMPUTED_VALUE"""),20.0)</f>
        <v>20</v>
      </c>
      <c r="G77" s="29" t="str">
        <f>IFERROR(__xludf.DUMMYFUNCTION("""COMPUTED_VALUE"""),"Yes")</f>
        <v>Yes</v>
      </c>
      <c r="H77" s="29" t="str">
        <f>IFERROR(__xludf.DUMMYFUNCTION("""COMPUTED_VALUE"""),"No")</f>
        <v>No</v>
      </c>
      <c r="I77" s="29"/>
      <c r="J77" s="29" t="str">
        <f>IFERROR(__xludf.DUMMYFUNCTION("""COMPUTED_VALUE"""),"u/Aleportee")</f>
        <v>u/Aleportee</v>
      </c>
      <c r="K77" s="29" t="str">
        <f>IFERROR(__xludf.DUMMYFUNCTION("""COMPUTED_VALUE"""),"Indonesia")</f>
        <v>Indonesia</v>
      </c>
      <c r="L77" s="29" t="str">
        <f>IFERROR(__xludf.DUMMYFUNCTION("""COMPUTED_VALUE"""),"Shopee")</f>
        <v>Shopee</v>
      </c>
      <c r="N77" s="28"/>
    </row>
    <row r="78">
      <c r="A78" s="29" t="str">
        <f>IFERROR(__xludf.DUMMYFUNCTION("""COMPUTED_VALUE"""),"DS923+")</f>
        <v>DS923+</v>
      </c>
      <c r="B78" s="29" t="str">
        <f>IFERROR(__xludf.DUMMYFUNCTION("""COMPUTED_VALUE"""),"7.2.2-72806 Update 1")</f>
        <v>7.2.2-72806 Update 1</v>
      </c>
      <c r="C78" s="29" t="str">
        <f>IFERROR(__xludf.DUMMYFUNCTION("""COMPUTED_VALUE"""),"Kingston")</f>
        <v>Kingston</v>
      </c>
      <c r="D78" s="29" t="str">
        <f>IFERROR(__xludf.DUMMYFUNCTION("""COMPUTED_VALUE"""),"KSM32SED8/32MF")</f>
        <v>KSM32SED8/32MF</v>
      </c>
      <c r="E78" s="29">
        <f>IFERROR(__xludf.DUMMYFUNCTION("""COMPUTED_VALUE"""),1.0)</f>
        <v>1</v>
      </c>
      <c r="F78" s="29">
        <f>IFERROR(__xludf.DUMMYFUNCTION("""COMPUTED_VALUE"""),36.0)</f>
        <v>36</v>
      </c>
      <c r="G78" s="29" t="str">
        <f>IFERROR(__xludf.DUMMYFUNCTION("""COMPUTED_VALUE"""),"Yes")</f>
        <v>Yes</v>
      </c>
      <c r="H78" s="29" t="str">
        <f>IFERROR(__xludf.DUMMYFUNCTION("""COMPUTED_VALUE"""),"No")</f>
        <v>No</v>
      </c>
      <c r="I78" s="29"/>
      <c r="J78" s="29" t="str">
        <f>IFERROR(__xludf.DUMMYFUNCTION("""COMPUTED_VALUE"""),"@mumbaumba")</f>
        <v>@mumbaumba</v>
      </c>
      <c r="K78" s="29"/>
      <c r="L78" s="29"/>
      <c r="N78" s="28"/>
    </row>
    <row r="79">
      <c r="A79" s="29" t="str">
        <f>IFERROR(__xludf.DUMMYFUNCTION("""COMPUTED_VALUE"""),"DS923+")</f>
        <v>DS923+</v>
      </c>
      <c r="B79" s="29" t="str">
        <f>IFERROR(__xludf.DUMMYFUNCTION("""COMPUTED_VALUE"""),"7.2.2-72806 Update 3")</f>
        <v>7.2.2-72806 Update 3</v>
      </c>
      <c r="C79" s="29" t="str">
        <f>IFERROR(__xludf.DUMMYFUNCTION("""COMPUTED_VALUE"""),"Kingston")</f>
        <v>Kingston</v>
      </c>
      <c r="D79" s="29" t="str">
        <f>IFERROR(__xludf.DUMMYFUNCTION("""COMPUTED_VALUE"""),"KSM26SED8/16HD")</f>
        <v>KSM26SED8/16HD</v>
      </c>
      <c r="E79" s="29">
        <f>IFERROR(__xludf.DUMMYFUNCTION("""COMPUTED_VALUE"""),2.0)</f>
        <v>2</v>
      </c>
      <c r="F79" s="29">
        <f>IFERROR(__xludf.DUMMYFUNCTION("""COMPUTED_VALUE"""),20.0)</f>
        <v>20</v>
      </c>
      <c r="G79" s="29" t="str">
        <f>IFERROR(__xludf.DUMMYFUNCTION("""COMPUTED_VALUE"""),"Yes")</f>
        <v>Yes</v>
      </c>
      <c r="H79" s="29" t="str">
        <f>IFERROR(__xludf.DUMMYFUNCTION("""COMPUTED_VALUE"""),"No")</f>
        <v>No</v>
      </c>
      <c r="I79" s="29" t="str">
        <f>IFERROR(__xludf.DUMMYFUNCTION("""COMPUTED_VALUE"""),"Kingston 16GB + Synology 4GB")</f>
        <v>Kingston 16GB + Synology 4GB</v>
      </c>
      <c r="J79" s="29" t="str">
        <f>IFERROR(__xludf.DUMMYFUNCTION("""COMPUTED_VALUE"""),"")</f>
        <v/>
      </c>
      <c r="K79" s="29" t="str">
        <f>IFERROR(__xludf.DUMMYFUNCTION("""COMPUTED_VALUE"""),"Poland")</f>
        <v>Poland</v>
      </c>
      <c r="L79" s="30" t="str">
        <f>IFERROR(__xludf.DUMMYFUNCTION("""COMPUTED_VALUE"""),"morele.net")</f>
        <v>morele.net</v>
      </c>
      <c r="N79" s="28"/>
    </row>
    <row r="80">
      <c r="A80" s="29" t="str">
        <f>IFERROR(__xludf.DUMMYFUNCTION("""COMPUTED_VALUE"""),"DS923+")</f>
        <v>DS923+</v>
      </c>
      <c r="B80" s="29" t="str">
        <f>IFERROR(__xludf.DUMMYFUNCTION("""COMPUTED_VALUE"""),"7.2.2-72806 Update 3")</f>
        <v>7.2.2-72806 Update 3</v>
      </c>
      <c r="C80" s="29" t="str">
        <f>IFERROR(__xludf.DUMMYFUNCTION("""COMPUTED_VALUE"""),"Mem-Store")</f>
        <v>Mem-Store</v>
      </c>
      <c r="D80" s="29" t="str">
        <f>IFERROR(__xludf.DUMMYFUNCTION("""COMPUTED_VALUE"""),"MM4SE-32GSDE")</f>
        <v>MM4SE-32GSDE</v>
      </c>
      <c r="E80" s="29">
        <f>IFERROR(__xludf.DUMMYFUNCTION("""COMPUTED_VALUE"""),2.0)</f>
        <v>2</v>
      </c>
      <c r="F80" s="29">
        <f>IFERROR(__xludf.DUMMYFUNCTION("""COMPUTED_VALUE"""),64.0)</f>
        <v>64</v>
      </c>
      <c r="G80" s="29" t="str">
        <f>IFERROR(__xludf.DUMMYFUNCTION("""COMPUTED_VALUE"""),"Yes")</f>
        <v>Yes</v>
      </c>
      <c r="H80" s="29" t="str">
        <f>IFERROR(__xludf.DUMMYFUNCTION("""COMPUTED_VALUE"""),"No")</f>
        <v>No</v>
      </c>
      <c r="I80" s="29" t="str">
        <f>IFERROR(__xludf.DUMMYFUNCTION("""COMPUTED_VALUE"""),"Memtest passed! (N.B. test runs 12 hours)")</f>
        <v>Memtest passed! (N.B. test runs 12 hours)</v>
      </c>
      <c r="J80" s="29" t="str">
        <f>IFERROR(__xludf.DUMMYFUNCTION("""COMPUTED_VALUE"""),"u/poppafuze")</f>
        <v>u/poppafuze</v>
      </c>
      <c r="K80" s="29" t="str">
        <f>IFERROR(__xludf.DUMMYFUNCTION("""COMPUTED_VALUE"""),"USA")</f>
        <v>USA</v>
      </c>
      <c r="L80" s="29" t="str">
        <f>IFERROR(__xludf.DUMMYFUNCTION("""COMPUTED_VALUE"""),"ebay")</f>
        <v>ebay</v>
      </c>
      <c r="N80" s="28"/>
    </row>
    <row r="81">
      <c r="A81" s="29" t="str">
        <f>IFERROR(__xludf.DUMMYFUNCTION("""COMPUTED_VALUE"""),"DS923+")</f>
        <v>DS923+</v>
      </c>
      <c r="B81" s="29" t="str">
        <f>IFERROR(__xludf.DUMMYFUNCTION("""COMPUTED_VALUE"""),"7.2.1-69057 Update 7")</f>
        <v>7.2.1-69057 Update 7</v>
      </c>
      <c r="C81" s="29" t="str">
        <f>IFERROR(__xludf.DUMMYFUNCTION("""COMPUTED_VALUE"""),"CRUCIAL")</f>
        <v>CRUCIAL</v>
      </c>
      <c r="D81" s="29" t="str">
        <f>IFERROR(__xludf.DUMMYFUNCTION("""COMPUTED_VALUE"""),"CT16G4SFRA32A")</f>
        <v>CT16G4SFRA32A</v>
      </c>
      <c r="E81" s="29">
        <f>IFERROR(__xludf.DUMMYFUNCTION("""COMPUTED_VALUE"""),1.0)</f>
        <v>1</v>
      </c>
      <c r="F81" s="29">
        <f>IFERROR(__xludf.DUMMYFUNCTION("""COMPUTED_VALUE"""),16.0)</f>
        <v>16</v>
      </c>
      <c r="G81" s="29" t="str">
        <f>IFERROR(__xludf.DUMMYFUNCTION("""COMPUTED_VALUE"""),"Yes")</f>
        <v>Yes</v>
      </c>
      <c r="H81" s="29" t="str">
        <f>IFERROR(__xludf.DUMMYFUNCTION("""COMPUTED_VALUE"""),"No")</f>
        <v>No</v>
      </c>
      <c r="I81" s="29"/>
      <c r="J81" s="29" t="str">
        <f>IFERROR(__xludf.DUMMYFUNCTION("""COMPUTED_VALUE"""),"@psanabia98")</f>
        <v>@psanabia98</v>
      </c>
      <c r="K81" s="29" t="str">
        <f>IFERROR(__xludf.DUMMYFUNCTION("""COMPUTED_VALUE"""),"USA")</f>
        <v>USA</v>
      </c>
      <c r="L81" s="29" t="str">
        <f>IFERROR(__xludf.DUMMYFUNCTION("""COMPUTED_VALUE"""),"best buy")</f>
        <v>best buy</v>
      </c>
      <c r="N81" s="28"/>
    </row>
    <row r="82">
      <c r="A82" s="29" t="str">
        <f>IFERROR(__xludf.DUMMYFUNCTION("""COMPUTED_VALUE"""),"DS923+")</f>
        <v>DS923+</v>
      </c>
      <c r="B82" s="29" t="str">
        <f>IFERROR(__xludf.DUMMYFUNCTION("""COMPUTED_VALUE"""),"7.2.2-72806 Update 3")</f>
        <v>7.2.2-72806 Update 3</v>
      </c>
      <c r="C82" s="29" t="str">
        <f>IFERROR(__xludf.DUMMYFUNCTION("""COMPUTED_VALUE"""),"SK Hynix")</f>
        <v>SK Hynix</v>
      </c>
      <c r="D82" s="29" t="str">
        <f>IFERROR(__xludf.DUMMYFUNCTION("""COMPUTED_VALUE"""),"HMA82GS7DJR8N-XN")</f>
        <v>HMA82GS7DJR8N-XN</v>
      </c>
      <c r="E82" s="29">
        <f>IFERROR(__xludf.DUMMYFUNCTION("""COMPUTED_VALUE"""),2.0)</f>
        <v>2</v>
      </c>
      <c r="F82" s="29">
        <f>IFERROR(__xludf.DUMMYFUNCTION("""COMPUTED_VALUE"""),32.0)</f>
        <v>32</v>
      </c>
      <c r="G82" s="29" t="str">
        <f>IFERROR(__xludf.DUMMYFUNCTION("""COMPUTED_VALUE"""),"Yes")</f>
        <v>Yes</v>
      </c>
      <c r="H82" s="29" t="str">
        <f>IFERROR(__xludf.DUMMYFUNCTION("""COMPUTED_VALUE"""),"No")</f>
        <v>No</v>
      </c>
      <c r="I82" s="29"/>
      <c r="J82" s="29" t="str">
        <f>IFERROR(__xludf.DUMMYFUNCTION("""COMPUTED_VALUE"""),"u/Conscious_Ad_1414")</f>
        <v>u/Conscious_Ad_1414</v>
      </c>
      <c r="K82" s="29" t="str">
        <f>IFERROR(__xludf.DUMMYFUNCTION("""COMPUTED_VALUE"""),"PRC")</f>
        <v>PRC</v>
      </c>
      <c r="L82" s="29"/>
      <c r="N82" s="28"/>
    </row>
    <row r="83">
      <c r="A83" s="29" t="str">
        <f>IFERROR(__xludf.DUMMYFUNCTION("""COMPUTED_VALUE"""),"DS923+")</f>
        <v>DS923+</v>
      </c>
      <c r="B83" s="29" t="str">
        <f>IFERROR(__xludf.DUMMYFUNCTION("""COMPUTED_VALUE"""),"7.2.2-72806 Update 3")</f>
        <v>7.2.2-72806 Update 3</v>
      </c>
      <c r="C83" s="29" t="str">
        <f>IFERROR(__xludf.DUMMYFUNCTION("""COMPUTED_VALUE"""),"Timetec")</f>
        <v>Timetec</v>
      </c>
      <c r="D83" s="29" t="str">
        <f>IFERROR(__xludf.DUMMYFUNCTION("""COMPUTED_VALUE"""),"79TT26EUS2R8-16G")</f>
        <v>79TT26EUS2R8-16G</v>
      </c>
      <c r="E83" s="29">
        <f>IFERROR(__xludf.DUMMYFUNCTION("""COMPUTED_VALUE"""),2.0)</f>
        <v>2</v>
      </c>
      <c r="F83" s="29">
        <f>IFERROR(__xludf.DUMMYFUNCTION("""COMPUTED_VALUE"""),32.0)</f>
        <v>32</v>
      </c>
      <c r="G83" s="29" t="str">
        <f>IFERROR(__xludf.DUMMYFUNCTION("""COMPUTED_VALUE"""),"Yes")</f>
        <v>Yes</v>
      </c>
      <c r="H83" s="29" t="str">
        <f>IFERROR(__xludf.DUMMYFUNCTION("""COMPUTED_VALUE"""),"No")</f>
        <v>No</v>
      </c>
      <c r="I83" s="29" t="str">
        <f>IFERROR(__xludf.DUMMYFUNCTION("""COMPUTED_VALUE"""),"Stable for four months now")</f>
        <v>Stable for four months now</v>
      </c>
      <c r="J83" s="29" t="str">
        <f>IFERROR(__xludf.DUMMYFUNCTION("""COMPUTED_VALUE"""),"u/Odd_Statement_786")</f>
        <v>u/Odd_Statement_786</v>
      </c>
      <c r="K83" s="29" t="str">
        <f>IFERROR(__xludf.DUMMYFUNCTION("""COMPUTED_VALUE"""),"Australia")</f>
        <v>Australia</v>
      </c>
      <c r="L83" s="30" t="str">
        <f>IFERROR(__xludf.DUMMYFUNCTION("""COMPUTED_VALUE"""),"amazon.co.au")</f>
        <v>amazon.co.au</v>
      </c>
      <c r="N83" s="28"/>
    </row>
    <row r="84">
      <c r="A84" s="29" t="str">
        <f>IFERROR(__xludf.DUMMYFUNCTION("""COMPUTED_VALUE"""),"DS923+")</f>
        <v>DS923+</v>
      </c>
      <c r="B84" s="29" t="str">
        <f>IFERROR(__xludf.DUMMYFUNCTION("""COMPUTED_VALUE"""),"7.2.2-72806 Update 3")</f>
        <v>7.2.2-72806 Update 3</v>
      </c>
      <c r="C84" s="29" t="str">
        <f>IFERROR(__xludf.DUMMYFUNCTION("""COMPUTED_VALUE"""),"OWC")</f>
        <v>OWC</v>
      </c>
      <c r="D84" s="29" t="str">
        <f>IFERROR(__xludf.DUMMYFUNCTION("""COMPUTED_VALUE"""),"X003W6NV79")</f>
        <v>X003W6NV79</v>
      </c>
      <c r="E84" s="29">
        <f>IFERROR(__xludf.DUMMYFUNCTION("""COMPUTED_VALUE"""),1.0)</f>
        <v>1</v>
      </c>
      <c r="F84" s="29">
        <f>IFERROR(__xludf.DUMMYFUNCTION("""COMPUTED_VALUE"""),36.0)</f>
        <v>36</v>
      </c>
      <c r="G84" s="29" t="str">
        <f>IFERROR(__xludf.DUMMYFUNCTION("""COMPUTED_VALUE"""),"Yes")</f>
        <v>Yes</v>
      </c>
      <c r="H84" s="29" t="str">
        <f>IFERROR(__xludf.DUMMYFUNCTION("""COMPUTED_VALUE"""),"No")</f>
        <v>No</v>
      </c>
      <c r="I84" s="29" t="str">
        <f>IFERROR(__xludf.DUMMYFUNCTION("""COMPUTED_VALUE"""),"priced great!")</f>
        <v>priced great!</v>
      </c>
      <c r="J84" s="29" t="str">
        <f>IFERROR(__xludf.DUMMYFUNCTION("""COMPUTED_VALUE"""),"u/ptgerald")</f>
        <v>u/ptgerald</v>
      </c>
      <c r="K84" s="29" t="str">
        <f>IFERROR(__xludf.DUMMYFUNCTION("""COMPUTED_VALUE"""),"USA")</f>
        <v>USA</v>
      </c>
      <c r="L84" s="30" t="str">
        <f>IFERROR(__xludf.DUMMYFUNCTION("""COMPUTED_VALUE"""),"amazon.com")</f>
        <v>amazon.com</v>
      </c>
      <c r="N84" s="28"/>
    </row>
    <row r="85">
      <c r="A85" s="29" t="str">
        <f>IFERROR(__xludf.DUMMYFUNCTION("""COMPUTED_VALUE"""),"DS923+")</f>
        <v>DS923+</v>
      </c>
      <c r="B85" s="29" t="str">
        <f>IFERROR(__xludf.DUMMYFUNCTION("""COMPUTED_VALUE"""),"7.2.2-72806 Update 3")</f>
        <v>7.2.2-72806 Update 3</v>
      </c>
      <c r="C85" s="29" t="str">
        <f>IFERROR(__xludf.DUMMYFUNCTION("""COMPUTED_VALUE"""),"Kingston")</f>
        <v>Kingston</v>
      </c>
      <c r="D85" s="29" t="str">
        <f>IFERROR(__xludf.DUMMYFUNCTION("""COMPUTED_VALUE"""),"KF432S201B/16")</f>
        <v>KF432S201B/16</v>
      </c>
      <c r="E85" s="29">
        <f>IFERROR(__xludf.DUMMYFUNCTION("""COMPUTED_VALUE"""),2.0)</f>
        <v>2</v>
      </c>
      <c r="F85" s="29">
        <f>IFERROR(__xludf.DUMMYFUNCTION("""COMPUTED_VALUE"""),32.0)</f>
        <v>32</v>
      </c>
      <c r="G85" s="29" t="str">
        <f>IFERROR(__xludf.DUMMYFUNCTION("""COMPUTED_VALUE"""),"Yes")</f>
        <v>Yes</v>
      </c>
      <c r="H85" s="29" t="str">
        <f>IFERROR(__xludf.DUMMYFUNCTION("""COMPUTED_VALUE"""),"No")</f>
        <v>No</v>
      </c>
      <c r="I85" s="29"/>
      <c r="J85" s="29" t="str">
        <f>IFERROR(__xludf.DUMMYFUNCTION("""COMPUTED_VALUE"""),"‪@mogrogh.bsky.social‬")</f>
        <v>‪@mogrogh.bsky.social‬</v>
      </c>
      <c r="K85" s="29" t="str">
        <f>IFERROR(__xludf.DUMMYFUNCTION("""COMPUTED_VALUE"""),"Sweden")</f>
        <v>Sweden</v>
      </c>
      <c r="L85" s="29" t="str">
        <f>IFERROR(__xludf.DUMMYFUNCTION("""COMPUTED_VALUE"""),"NetOnNet")</f>
        <v>NetOnNet</v>
      </c>
      <c r="N85" s="28"/>
    </row>
    <row r="86">
      <c r="A86" s="29" t="str">
        <f>IFERROR(__xludf.DUMMYFUNCTION("""COMPUTED_VALUE"""),"DS923+")</f>
        <v>DS923+</v>
      </c>
      <c r="B86" s="29" t="str">
        <f>IFERROR(__xludf.DUMMYFUNCTION("""COMPUTED_VALUE"""),"7.2.2-72806 Update 4")</f>
        <v>7.2.2-72806 Update 4</v>
      </c>
      <c r="C86" s="29" t="str">
        <f>IFERROR(__xludf.DUMMYFUNCTION("""COMPUTED_VALUE"""),"Micron")</f>
        <v>Micron</v>
      </c>
      <c r="D86" s="29" t="str">
        <f>IFERROR(__xludf.DUMMYFUNCTION("""COMPUTED_VALUE"""),"MTA9ASF2G72HZ-3G2B2ZI 16 GB")</f>
        <v>MTA9ASF2G72HZ-3G2B2ZI 16 GB</v>
      </c>
      <c r="E86" s="29">
        <f>IFERROR(__xludf.DUMMYFUNCTION("""COMPUTED_VALUE"""),2.0)</f>
        <v>2</v>
      </c>
      <c r="F86" s="29">
        <f>IFERROR(__xludf.DUMMYFUNCTION("""COMPUTED_VALUE"""),32.0)</f>
        <v>32</v>
      </c>
      <c r="G86" s="29" t="str">
        <f>IFERROR(__xludf.DUMMYFUNCTION("""COMPUTED_VALUE"""),"Yes")</f>
        <v>Yes</v>
      </c>
      <c r="H86" s="29" t="str">
        <f>IFERROR(__xludf.DUMMYFUNCTION("""COMPUTED_VALUE"""),"No")</f>
        <v>No</v>
      </c>
      <c r="I86" s="29" t="str">
        <f>IFERROR(__xludf.DUMMYFUNCTION("""COMPUTED_VALUE"""),"Memtest fine, ECC states as working")</f>
        <v>Memtest fine, ECC states as working</v>
      </c>
      <c r="J86" s="29" t="str">
        <f>IFERROR(__xludf.DUMMYFUNCTION("""COMPUTED_VALUE"""),"u/keiranpl")</f>
        <v>u/keiranpl</v>
      </c>
      <c r="K86" s="29" t="str">
        <f>IFERROR(__xludf.DUMMYFUNCTION("""COMPUTED_VALUE"""),"Poland")</f>
        <v>Poland</v>
      </c>
      <c r="L86" s="29" t="str">
        <f>IFERROR(__xludf.DUMMYFUNCTION("""COMPUTED_VALUE"""),"Allegro (polish site), dudicompit seller")</f>
        <v>Allegro (polish site), dudicompit seller</v>
      </c>
      <c r="N86" s="28"/>
    </row>
    <row r="87">
      <c r="A87" s="29" t="str">
        <f>IFERROR(__xludf.DUMMYFUNCTION("""COMPUTED_VALUE"""),"DS923+")</f>
        <v>DS923+</v>
      </c>
      <c r="B87" s="29" t="str">
        <f>IFERROR(__xludf.DUMMYFUNCTION("""COMPUTED_VALUE"""),"7.2.2-72806 Update 4")</f>
        <v>7.2.2-72806 Update 4</v>
      </c>
      <c r="C87" s="29" t="str">
        <f>IFERROR(__xludf.DUMMYFUNCTION("""COMPUTED_VALUE"""),"Kingston")</f>
        <v>Kingston</v>
      </c>
      <c r="D87" s="29" t="str">
        <f>IFERROR(__xludf.DUMMYFUNCTION("""COMPUTED_VALUE"""),"KVR32S22D8/16")</f>
        <v>KVR32S22D8/16</v>
      </c>
      <c r="E87" s="29">
        <f>IFERROR(__xludf.DUMMYFUNCTION("""COMPUTED_VALUE"""),1.0)</f>
        <v>1</v>
      </c>
      <c r="F87" s="29">
        <f>IFERROR(__xludf.DUMMYFUNCTION("""COMPUTED_VALUE"""),16.0)</f>
        <v>16</v>
      </c>
      <c r="G87" s="29" t="str">
        <f>IFERROR(__xludf.DUMMYFUNCTION("""COMPUTED_VALUE"""),"Yes")</f>
        <v>Yes</v>
      </c>
      <c r="H87" s="29" t="str">
        <f>IFERROR(__xludf.DUMMYFUNCTION("""COMPUTED_VALUE"""),"No")</f>
        <v>No</v>
      </c>
      <c r="I87" s="29" t="str">
        <f>IFERROR(__xludf.DUMMYFUNCTION("""COMPUTED_VALUE"""),"memtest passed, the original ECC memory module was removed before inserting this one Non-ECC. Real speed 2400 MT/s")</f>
        <v>memtest passed, the original ECC memory module was removed before inserting this one Non-ECC. Real speed 2400 MT/s</v>
      </c>
      <c r="J87" s="29" t="str">
        <f>IFERROR(__xludf.DUMMYFUNCTION("""COMPUTED_VALUE"""),"lucidyan")</f>
        <v>lucidyan</v>
      </c>
      <c r="K87" s="29" t="str">
        <f>IFERROR(__xludf.DUMMYFUNCTION("""COMPUTED_VALUE"""),"Serbia")</f>
        <v>Serbia</v>
      </c>
      <c r="L87" s="30" t="str">
        <f>IFERROR(__xludf.DUMMYFUNCTION("""COMPUTED_VALUE"""),"gigatron.rs")</f>
        <v>gigatron.rs</v>
      </c>
      <c r="N87" s="28"/>
    </row>
    <row r="88">
      <c r="A88" s="29" t="str">
        <f>IFERROR(__xludf.DUMMYFUNCTION("""COMPUTED_VALUE"""),"DS923+")</f>
        <v>DS923+</v>
      </c>
      <c r="B88" s="29" t="str">
        <f>IFERROR(__xludf.DUMMYFUNCTION("""COMPUTED_VALUE"""),"7.2.2-72806 update 4")</f>
        <v>7.2.2-72806 update 4</v>
      </c>
      <c r="C88" s="29" t="str">
        <f>IFERROR(__xludf.DUMMYFUNCTION("""COMPUTED_VALUE"""),"Foxline")</f>
        <v>Foxline</v>
      </c>
      <c r="D88" s="29" t="str">
        <f>IFERROR(__xludf.DUMMYFUNCTION("""COMPUTED_VALUE"""),"FL3200D4ES22-16G")</f>
        <v>FL3200D4ES22-16G</v>
      </c>
      <c r="E88" s="29">
        <f>IFERROR(__xludf.DUMMYFUNCTION("""COMPUTED_VALUE"""),2.0)</f>
        <v>2</v>
      </c>
      <c r="F88" s="29">
        <f>IFERROR(__xludf.DUMMYFUNCTION("""COMPUTED_VALUE"""),32.0)</f>
        <v>32</v>
      </c>
      <c r="G88" s="29" t="str">
        <f>IFERROR(__xludf.DUMMYFUNCTION("""COMPUTED_VALUE"""),"Yes")</f>
        <v>Yes</v>
      </c>
      <c r="H88" s="29" t="str">
        <f>IFERROR(__xludf.DUMMYFUNCTION("""COMPUTED_VALUE"""),"No")</f>
        <v>No</v>
      </c>
      <c r="I88" s="29"/>
      <c r="J88" s="29" t="str">
        <f>IFERROR(__xludf.DUMMYFUNCTION("""COMPUTED_VALUE"""),"don't have")</f>
        <v>don't have</v>
      </c>
      <c r="K88" s="29" t="str">
        <f>IFERROR(__xludf.DUMMYFUNCTION("""COMPUTED_VALUE"""),"China")</f>
        <v>China</v>
      </c>
      <c r="L88" s="30" t="str">
        <f>IFERROR(__xludf.DUMMYFUNCTION("""COMPUTED_VALUE"""),"ozon.ru")</f>
        <v>ozon.ru</v>
      </c>
      <c r="N88" s="28"/>
    </row>
    <row r="89">
      <c r="A89" s="29" t="str">
        <f>IFERROR(__xludf.DUMMYFUNCTION("""COMPUTED_VALUE"""),"DS923+")</f>
        <v>DS923+</v>
      </c>
      <c r="B89" s="29" t="str">
        <f>IFERROR(__xludf.DUMMYFUNCTION("""COMPUTED_VALUE"""),"7.2.2-72806 Update 5")</f>
        <v>7.2.2-72806 Update 5</v>
      </c>
      <c r="C89" s="29" t="str">
        <f>IFERROR(__xludf.DUMMYFUNCTION("""COMPUTED_VALUE"""),"Kingston")</f>
        <v>Kingston</v>
      </c>
      <c r="D89" s="29" t="str">
        <f>IFERROR(__xludf.DUMMYFUNCTION("""COMPUTED_VALUE"""),"KCP432SS8/16")</f>
        <v>KCP432SS8/16</v>
      </c>
      <c r="E89" s="29">
        <f>IFERROR(__xludf.DUMMYFUNCTION("""COMPUTED_VALUE"""),1.0)</f>
        <v>1</v>
      </c>
      <c r="F89" s="29">
        <f>IFERROR(__xludf.DUMMYFUNCTION("""COMPUTED_VALUE"""),20.0)</f>
        <v>20</v>
      </c>
      <c r="G89" s="29" t="str">
        <f>IFERROR(__xludf.DUMMYFUNCTION("""COMPUTED_VALUE"""),"Yes")</f>
        <v>Yes</v>
      </c>
      <c r="H89" s="29" t="str">
        <f>IFERROR(__xludf.DUMMYFUNCTION("""COMPUTED_VALUE"""),"No")</f>
        <v>No</v>
      </c>
      <c r="I89" s="29"/>
      <c r="J89" s="29" t="str">
        <f>IFERROR(__xludf.DUMMYFUNCTION("""COMPUTED_VALUE"""),"U/bar")</f>
        <v>U/bar</v>
      </c>
      <c r="K89" s="29" t="str">
        <f>IFERROR(__xludf.DUMMYFUNCTION("""COMPUTED_VALUE"""),"Denmark")</f>
        <v>Denmark</v>
      </c>
      <c r="L89" s="29"/>
      <c r="N89" s="28"/>
    </row>
    <row r="90">
      <c r="A90" s="29" t="str">
        <f>IFERROR(__xludf.DUMMYFUNCTION("""COMPUTED_VALUE"""),"DS923+")</f>
        <v>DS923+</v>
      </c>
      <c r="B90" s="29" t="str">
        <f>IFERROR(__xludf.DUMMYFUNCTION("""COMPUTED_VALUE"""),"7.2.2-72806 Update 5")</f>
        <v>7.2.2-72806 Update 5</v>
      </c>
      <c r="C90" s="29" t="str">
        <f>IFERROR(__xludf.DUMMYFUNCTION("""COMPUTED_VALUE"""),"Lexar")</f>
        <v>Lexar</v>
      </c>
      <c r="D90" s="29" t="str">
        <f>IFERROR(__xludf.DUMMYFUNCTION("""COMPUTED_VALUE"""),"LD4AS016G-B3200ASST")</f>
        <v>LD4AS016G-B3200ASST</v>
      </c>
      <c r="E90" s="29">
        <f>IFERROR(__xludf.DUMMYFUNCTION("""COMPUTED_VALUE"""),1.0)</f>
        <v>1</v>
      </c>
      <c r="F90" s="29">
        <f>IFERROR(__xludf.DUMMYFUNCTION("""COMPUTED_VALUE"""),20.0)</f>
        <v>20</v>
      </c>
      <c r="G90" s="29" t="str">
        <f>IFERROR(__xludf.DUMMYFUNCTION("""COMPUTED_VALUE"""),"Yes")</f>
        <v>Yes</v>
      </c>
      <c r="H90" s="29" t="str">
        <f>IFERROR(__xludf.DUMMYFUNCTION("""COMPUTED_VALUE"""),"No")</f>
        <v>No</v>
      </c>
      <c r="I90" s="29"/>
      <c r="J90" s="29" t="str">
        <f>IFERROR(__xludf.DUMMYFUNCTION("""COMPUTED_VALUE"""),"none")</f>
        <v>none</v>
      </c>
      <c r="K90" s="29" t="str">
        <f>IFERROR(__xludf.DUMMYFUNCTION("""COMPUTED_VALUE"""),"UK")</f>
        <v>UK</v>
      </c>
      <c r="L90" s="30" t="str">
        <f>IFERROR(__xludf.DUMMYFUNCTION("""COMPUTED_VALUE"""),"amazon.co.uk")</f>
        <v>amazon.co.uk</v>
      </c>
      <c r="N90" s="28"/>
    </row>
    <row r="91">
      <c r="A91" s="29" t="str">
        <f>IFERROR(__xludf.DUMMYFUNCTION("""COMPUTED_VALUE"""),"DS923+")</f>
        <v>DS923+</v>
      </c>
      <c r="B91" s="29" t="str">
        <f>IFERROR(__xludf.DUMMYFUNCTION("""COMPUTED_VALUE"""),"7.2.2-72806 Update 2")</f>
        <v>7.2.2-72806 Update 2</v>
      </c>
      <c r="C91" s="29" t="str">
        <f>IFERROR(__xludf.DUMMYFUNCTION("""COMPUTED_VALUE"""),"Kingston")</f>
        <v>Kingston</v>
      </c>
      <c r="D91" s="29" t="str">
        <f>IFERROR(__xludf.DUMMYFUNCTION("""COMPUTED_VALUE"""),"KCP432SD8/16")</f>
        <v>KCP432SD8/16</v>
      </c>
      <c r="E91" s="29">
        <f>IFERROR(__xludf.DUMMYFUNCTION("""COMPUTED_VALUE"""),2.0)</f>
        <v>2</v>
      </c>
      <c r="F91" s="29">
        <f>IFERROR(__xludf.DUMMYFUNCTION("""COMPUTED_VALUE"""),32.0)</f>
        <v>32</v>
      </c>
      <c r="G91" s="29" t="str">
        <f>IFERROR(__xludf.DUMMYFUNCTION("""COMPUTED_VALUE"""),"Yes")</f>
        <v>Yes</v>
      </c>
      <c r="H91" s="29" t="str">
        <f>IFERROR(__xludf.DUMMYFUNCTION("""COMPUTED_VALUE"""),"No")</f>
        <v>No</v>
      </c>
      <c r="I91" s="29"/>
      <c r="J91" s="29" t="str">
        <f>IFERROR(__xludf.DUMMYFUNCTION("""COMPUTED_VALUE"""),"u/TheRealResU")</f>
        <v>u/TheRealResU</v>
      </c>
      <c r="K91" s="29" t="str">
        <f>IFERROR(__xludf.DUMMYFUNCTION("""COMPUTED_VALUE"""),"Australia")</f>
        <v>Australia</v>
      </c>
      <c r="L91" s="29" t="str">
        <f>IFERROR(__xludf.DUMMYFUNCTION("""COMPUTED_VALUE"""),"Scorptec")</f>
        <v>Scorptec</v>
      </c>
      <c r="N91" s="28"/>
    </row>
    <row r="92">
      <c r="A92" s="29" t="str">
        <f>IFERROR(__xludf.DUMMYFUNCTION("""COMPUTED_VALUE"""),"DS923+")</f>
        <v>DS923+</v>
      </c>
      <c r="B92" s="29" t="str">
        <f>IFERROR(__xludf.DUMMYFUNCTION("""COMPUTED_VALUE"""),"7.3.2-86009")</f>
        <v>7.3.2-86009</v>
      </c>
      <c r="C92" s="29" t="str">
        <f>IFERROR(__xludf.DUMMYFUNCTION("""COMPUTED_VALUE"""),"Kingston Technology")</f>
        <v>Kingston Technology</v>
      </c>
      <c r="D92" s="29" t="str">
        <f>IFERROR(__xludf.DUMMYFUNCTION("""COMPUTED_VALUE"""),"KSM26SED8/16HD")</f>
        <v>KSM26SED8/16HD</v>
      </c>
      <c r="E92" s="29">
        <f>IFERROR(__xludf.DUMMYFUNCTION("""COMPUTED_VALUE"""),2.0)</f>
        <v>2</v>
      </c>
      <c r="F92" s="29">
        <f>IFERROR(__xludf.DUMMYFUNCTION("""COMPUTED_VALUE"""),32.0)</f>
        <v>32</v>
      </c>
      <c r="G92" s="29" t="str">
        <f>IFERROR(__xludf.DUMMYFUNCTION("""COMPUTED_VALUE"""),"Yes")</f>
        <v>Yes</v>
      </c>
      <c r="H92" s="29" t="str">
        <f>IFERROR(__xludf.DUMMYFUNCTION("""COMPUTED_VALUE"""),"No")</f>
        <v>No</v>
      </c>
      <c r="I92" s="29" t="str">
        <f>IFERROR(__xludf.DUMMYFUNCTION("""COMPUTED_VALUE"""),"This RAM is difficult to find and can be near $200 per module. An untested (by me) substitute is OWC 16GB Replacement for Synology D4ES03-16G - DDR4 2666 PC4-21300 CL19 2Rx8 260-pin 1.2V ECC Unbuffered SODIMM Memory RAM Module Upgrade for $125/ module.")</f>
        <v>This RAM is difficult to find and can be near $200 per module. An untested (by me) substitute is OWC 16GB Replacement for Synology D4ES03-16G - DDR4 2666 PC4-21300 CL19 2Rx8 260-pin 1.2V ECC Unbuffered SODIMM Memory RAM Module Upgrade for $125/ module.</v>
      </c>
      <c r="J92" s="29" t="str">
        <f>IFERROR(__xludf.DUMMYFUNCTION("""COMPUTED_VALUE"""),"Not a Reddit member")</f>
        <v>Not a Reddit member</v>
      </c>
      <c r="K92" s="29" t="str">
        <f>IFERROR(__xludf.DUMMYFUNCTION("""COMPUTED_VALUE"""),"USA")</f>
        <v>USA</v>
      </c>
      <c r="L92" s="29" t="str">
        <f>IFERROR(__xludf.DUMMYFUNCTION("""COMPUTED_VALUE"""),"Kingston Technology")</f>
        <v>Kingston Technology</v>
      </c>
      <c r="N92" s="28"/>
    </row>
    <row r="93">
      <c r="A93" s="29" t="str">
        <f>IFERROR(__xludf.DUMMYFUNCTION("""COMPUTED_VALUE"""),"DS923+")</f>
        <v>DS923+</v>
      </c>
      <c r="B93" s="29" t="str">
        <f>IFERROR(__xludf.DUMMYFUNCTION("""COMPUTED_VALUE"""),"7.3.2-86009")</f>
        <v>7.3.2-86009</v>
      </c>
      <c r="C93" s="29" t="str">
        <f>IFERROR(__xludf.DUMMYFUNCTION("""COMPUTED_VALUE"""),"Hynix")</f>
        <v>Hynix</v>
      </c>
      <c r="D93" s="29" t="str">
        <f>IFERROR(__xludf.DUMMYFUNCTION("""COMPUTED_VALUE"""),"HMA82GS6AFR8N-UH")</f>
        <v>HMA82GS6AFR8N-UH</v>
      </c>
      <c r="E93" s="29">
        <f>IFERROR(__xludf.DUMMYFUNCTION("""COMPUTED_VALUE"""),2.0)</f>
        <v>2</v>
      </c>
      <c r="F93" s="29">
        <f>IFERROR(__xludf.DUMMYFUNCTION("""COMPUTED_VALUE"""),32.0)</f>
        <v>32</v>
      </c>
      <c r="G93" s="29" t="str">
        <f>IFERROR(__xludf.DUMMYFUNCTION("""COMPUTED_VALUE"""),"Yes")</f>
        <v>Yes</v>
      </c>
      <c r="H93" s="29" t="str">
        <f>IFERROR(__xludf.DUMMYFUNCTION("""COMPUTED_VALUE"""),"No")</f>
        <v>No</v>
      </c>
      <c r="I93" s="29"/>
      <c r="J93" s="29" t="str">
        <f>IFERROR(__xludf.DUMMYFUNCTION("""COMPUTED_VALUE"""),"doesn't have one")</f>
        <v>doesn't have one</v>
      </c>
      <c r="K93" s="29"/>
      <c r="L93" s="29"/>
      <c r="N93" s="28"/>
    </row>
    <row r="94">
      <c r="A94" s="29" t="str">
        <f>IFERROR(__xludf.DUMMYFUNCTION("""COMPUTED_VALUE"""),"DS923+")</f>
        <v>DS923+</v>
      </c>
      <c r="B94" s="29" t="str">
        <f>IFERROR(__xludf.DUMMYFUNCTION("""COMPUTED_VALUE"""),"7.3.2-86009 Update 1")</f>
        <v>7.3.2-86009 Update 1</v>
      </c>
      <c r="C94" s="29" t="str">
        <f>IFERROR(__xludf.DUMMYFUNCTION("""COMPUTED_VALUE"""),"Crucial")</f>
        <v>Crucial</v>
      </c>
      <c r="D94" s="29" t="str">
        <f>IFERROR(__xludf.DUMMYFUNCTION("""COMPUTED_VALUE"""),"CT16G4SFRA32A")</f>
        <v>CT16G4SFRA32A</v>
      </c>
      <c r="E94" s="29">
        <f>IFERROR(__xludf.DUMMYFUNCTION("""COMPUTED_VALUE"""),2.0)</f>
        <v>2</v>
      </c>
      <c r="F94" s="29">
        <f>IFERROR(__xludf.DUMMYFUNCTION("""COMPUTED_VALUE"""),32.0)</f>
        <v>32</v>
      </c>
      <c r="G94" s="29" t="str">
        <f>IFERROR(__xludf.DUMMYFUNCTION("""COMPUTED_VALUE"""),"Yes")</f>
        <v>Yes</v>
      </c>
      <c r="H94" s="29" t="str">
        <f>IFERROR(__xludf.DUMMYFUNCTION("""COMPUTED_VALUE"""),"No")</f>
        <v>No</v>
      </c>
      <c r="I94" s="29"/>
      <c r="J94" s="29" t="str">
        <f>IFERROR(__xludf.DUMMYFUNCTION("""COMPUTED_VALUE"""),"lathoub")</f>
        <v>lathoub</v>
      </c>
      <c r="K94" s="29" t="str">
        <f>IFERROR(__xludf.DUMMYFUNCTION("""COMPUTED_VALUE"""),"Belgium")</f>
        <v>Belgium</v>
      </c>
      <c r="L94" s="30" t="str">
        <f>IFERROR(__xludf.DUMMYFUNCTION("""COMPUTED_VALUE"""),"alternate.be")</f>
        <v>alternate.be</v>
      </c>
      <c r="N94" s="28"/>
    </row>
    <row r="95">
      <c r="A95" s="29" t="str">
        <f>IFERROR(__xludf.DUMMYFUNCTION("""COMPUTED_VALUE"""),"DS923+")</f>
        <v>DS923+</v>
      </c>
      <c r="B95" s="29" t="str">
        <f>IFERROR(__xludf.DUMMYFUNCTION("""COMPUTED_VALUE"""),"7.3.2-86009 Update 3")</f>
        <v>7.3.2-86009 Update 3</v>
      </c>
      <c r="C95" s="29" t="str">
        <f>IFERROR(__xludf.DUMMYFUNCTION("""COMPUTED_VALUE"""),"Crucial")</f>
        <v>Crucial</v>
      </c>
      <c r="D95" s="29" t="str">
        <f>IFERROR(__xludf.DUMMYFUNCTION("""COMPUTED_VALUE"""),"CT32G4SFD832A")</f>
        <v>CT32G4SFD832A</v>
      </c>
      <c r="E95" s="29">
        <f>IFERROR(__xludf.DUMMYFUNCTION("""COMPUTED_VALUE"""),2.0)</f>
        <v>2</v>
      </c>
      <c r="F95" s="29">
        <f>IFERROR(__xludf.DUMMYFUNCTION("""COMPUTED_VALUE"""),64.0)</f>
        <v>64</v>
      </c>
      <c r="G95" s="29" t="str">
        <f>IFERROR(__xludf.DUMMYFUNCTION("""COMPUTED_VALUE"""),"Yes")</f>
        <v>Yes</v>
      </c>
      <c r="H95" s="29" t="str">
        <f>IFERROR(__xludf.DUMMYFUNCTION("""COMPUTED_VALUE"""),"No")</f>
        <v>No</v>
      </c>
      <c r="I95" s="29"/>
      <c r="J95" s="29" t="str">
        <f>IFERROR(__xludf.DUMMYFUNCTION("""COMPUTED_VALUE"""),"Frimi01")</f>
        <v>Frimi01</v>
      </c>
      <c r="K95" s="29" t="str">
        <f>IFERROR(__xludf.DUMMYFUNCTION("""COMPUTED_VALUE"""),"Norway")</f>
        <v>Norway</v>
      </c>
      <c r="L95" s="29" t="str">
        <f>IFERROR(__xludf.DUMMYFUNCTION("""COMPUTED_VALUE"""),"csmegastore")</f>
        <v>csmegastore</v>
      </c>
      <c r="N95" s="28"/>
    </row>
    <row r="96">
      <c r="A96" s="29" t="str">
        <f>IFERROR(__xludf.DUMMYFUNCTION("""COMPUTED_VALUE"""),"DS923+")</f>
        <v>DS923+</v>
      </c>
      <c r="B96" s="29" t="str">
        <f>IFERROR(__xludf.DUMMYFUNCTION("""COMPUTED_VALUE"""),"﻿﻿﻿﻿7.3.2-86009 Update 3")</f>
        <v>﻿﻿﻿﻿7.3.2-86009 Update 3</v>
      </c>
      <c r="C96" s="29" t="str">
        <f>IFERROR(__xludf.DUMMYFUNCTION("""COMPUTED_VALUE"""),"Kingston")</f>
        <v>Kingston</v>
      </c>
      <c r="D96" s="29" t="str">
        <f>IFERROR(__xludf.DUMMYFUNCTION("""COMPUTED_VALUE"""),"KSM32SED8/16MR")</f>
        <v>KSM32SED8/16MR</v>
      </c>
      <c r="E96" s="29">
        <f>IFERROR(__xludf.DUMMYFUNCTION("""COMPUTED_VALUE"""),1.0)</f>
        <v>1</v>
      </c>
      <c r="F96" s="29">
        <f>IFERROR(__xludf.DUMMYFUNCTION("""COMPUTED_VALUE"""),20.0)</f>
        <v>20</v>
      </c>
      <c r="G96" s="29" t="str">
        <f>IFERROR(__xludf.DUMMYFUNCTION("""COMPUTED_VALUE"""),"Yes")</f>
        <v>Yes</v>
      </c>
      <c r="H96" s="29" t="str">
        <f>IFERROR(__xludf.DUMMYFUNCTION("""COMPUTED_VALUE"""),"No")</f>
        <v>No</v>
      </c>
      <c r="I96" s="29" t="str">
        <f>IFERROR(__xludf.DUMMYFUNCTION("""COMPUTED_VALUE"""),"SYNOLOGY memtest passed")</f>
        <v>SYNOLOGY memtest passed</v>
      </c>
      <c r="J96" s="29" t="str">
        <f>IFERROR(__xludf.DUMMYFUNCTION("""COMPUTED_VALUE"""),"N/A")</f>
        <v>N/A</v>
      </c>
      <c r="K96" s="29" t="str">
        <f>IFERROR(__xludf.DUMMYFUNCTION("""COMPUTED_VALUE"""),"France")</f>
        <v>France</v>
      </c>
      <c r="L96" s="29" t="str">
        <f>IFERROR(__xludf.DUMMYFUNCTION("""COMPUTED_VALUE"""),"Vinted - used module")</f>
        <v>Vinted - used module</v>
      </c>
      <c r="N96" s="28"/>
    </row>
    <row r="97">
      <c r="A97" s="29" t="str">
        <f>IFERROR(__xludf.DUMMYFUNCTION("""COMPUTED_VALUE"""),"DS923+")</f>
        <v>DS923+</v>
      </c>
      <c r="B97" s="29" t="str">
        <f>IFERROR(__xludf.DUMMYFUNCTION("""COMPUTED_VALUE"""),"7.3.2-86009 Update 3")</f>
        <v>7.3.2-86009 Update 3</v>
      </c>
      <c r="C97" s="29" t="str">
        <f>IFERROR(__xludf.DUMMYFUNCTION("""COMPUTED_VALUE"""),"Lexar")</f>
        <v>Lexar</v>
      </c>
      <c r="D97" s="29" t="str">
        <f>IFERROR(__xludf.DUMMYFUNCTION("""COMPUTED_VALUE"""),"LD4AS016G-B3200GSST")</f>
        <v>LD4AS016G-B3200GSST</v>
      </c>
      <c r="E97" s="29">
        <f>IFERROR(__xludf.DUMMYFUNCTION("""COMPUTED_VALUE"""),1.0)</f>
        <v>1</v>
      </c>
      <c r="F97" s="29">
        <f>IFERROR(__xludf.DUMMYFUNCTION("""COMPUTED_VALUE"""),20.0)</f>
        <v>20</v>
      </c>
      <c r="G97" s="29" t="str">
        <f>IFERROR(__xludf.DUMMYFUNCTION("""COMPUTED_VALUE"""),"Yes")</f>
        <v>Yes</v>
      </c>
      <c r="H97" s="29" t="str">
        <f>IFERROR(__xludf.DUMMYFUNCTION("""COMPUTED_VALUE"""),"No")</f>
        <v>No</v>
      </c>
      <c r="I97" s="29" t="str">
        <f>IFERROR(__xludf.DUMMYFUNCTION("""COMPUTED_VALUE"""),"4GB original &amp; 16GB from third party. 5 days running non-stop without any hickup.")</f>
        <v>4GB original &amp; 16GB from third party. 5 days running non-stop without any hickup.</v>
      </c>
      <c r="J97" s="29" t="str">
        <f>IFERROR(__xludf.DUMMYFUNCTION("""COMPUTED_VALUE"""),"None")</f>
        <v>None</v>
      </c>
      <c r="K97" s="29" t="str">
        <f>IFERROR(__xludf.DUMMYFUNCTION("""COMPUTED_VALUE"""),"Thailand")</f>
        <v>Thailand</v>
      </c>
      <c r="L97" s="30" t="str">
        <f>IFERROR(__xludf.DUMMYFUNCTION("""COMPUTED_VALUE"""),"www.lazada.co.th")</f>
        <v>www.lazada.co.th</v>
      </c>
      <c r="N97" s="28"/>
    </row>
    <row r="98">
      <c r="A98" s="29" t="str">
        <f>IFERROR(__xludf.DUMMYFUNCTION("""COMPUTED_VALUE"""),"DS923+")</f>
        <v>DS923+</v>
      </c>
      <c r="B98" s="29" t="str">
        <f>IFERROR(__xludf.DUMMYFUNCTION("""COMPUTED_VALUE"""),"7.3.2-86009 Update 3")</f>
        <v>7.3.2-86009 Update 3</v>
      </c>
      <c r="C98" s="29" t="str">
        <f>IFERROR(__xludf.DUMMYFUNCTION("""COMPUTED_VALUE"""),"SK hynix")</f>
        <v>SK hynix</v>
      </c>
      <c r="D98" s="29" t="str">
        <f>IFERROR(__xludf.DUMMYFUNCTION("""COMPUTED_VALUE"""),"HMA81GS6CJR8N-XN N0 AD")</f>
        <v>HMA81GS6CJR8N-XN N0 AD</v>
      </c>
      <c r="E98" s="29">
        <f>IFERROR(__xludf.DUMMYFUNCTION("""COMPUTED_VALUE"""),2.0)</f>
        <v>2</v>
      </c>
      <c r="F98" s="29">
        <f>IFERROR(__xludf.DUMMYFUNCTION("""COMPUTED_VALUE"""),16.0)</f>
        <v>16</v>
      </c>
      <c r="G98" s="29" t="str">
        <f>IFERROR(__xludf.DUMMYFUNCTION("""COMPUTED_VALUE"""),"Yes")</f>
        <v>Yes</v>
      </c>
      <c r="H98" s="29" t="str">
        <f>IFERROR(__xludf.DUMMYFUNCTION("""COMPUTED_VALUE"""),"No")</f>
        <v>No</v>
      </c>
      <c r="I98" s="29" t="str">
        <f>IFERROR(__xludf.DUMMYFUNCTION("""COMPUTED_VALUE"""),"V 2106")</f>
        <v>V 2106</v>
      </c>
      <c r="J98" s="29" t="str">
        <f>IFERROR(__xludf.DUMMYFUNCTION("""COMPUTED_VALUE"""),"Ok_Run_4270")</f>
        <v>Ok_Run_4270</v>
      </c>
      <c r="K98" s="29"/>
      <c r="L98" s="29" t="str">
        <f>IFERROR(__xludf.DUMMYFUNCTION("""COMPUTED_VALUE"""),"NA")</f>
        <v>NA</v>
      </c>
      <c r="N98" s="28"/>
    </row>
    <row r="99">
      <c r="A99" s="29" t="str">
        <f>IFERROR(__xludf.DUMMYFUNCTION("""COMPUTED_VALUE"""),"DS923+")</f>
        <v>DS923+</v>
      </c>
      <c r="B99" s="29" t="str">
        <f>IFERROR(__xludf.DUMMYFUNCTION("""COMPUTED_VALUE"""),"  7.4-90075")</f>
        <v>  7.4-90075</v>
      </c>
      <c r="C99" s="29" t="str">
        <f>IFERROR(__xludf.DUMMYFUNCTION("""COMPUTED_VALUE"""),"Memphis")</f>
        <v>Memphis</v>
      </c>
      <c r="D99" s="29" t="str">
        <f>IFERROR(__xludf.DUMMYFUNCTION("""COMPUTED_VALUE"""),"D4SO1G724G-A58HB")</f>
        <v>D4SO1G724G-A58HB</v>
      </c>
      <c r="E99" s="29">
        <f>IFERROR(__xludf.DUMMYFUNCTION("""COMPUTED_VALUE"""),2.0)</f>
        <v>2</v>
      </c>
      <c r="F99" s="29">
        <f>IFERROR(__xludf.DUMMYFUNCTION("""COMPUTED_VALUE"""),16.0)</f>
        <v>16</v>
      </c>
      <c r="G99" s="29" t="str">
        <f>IFERROR(__xludf.DUMMYFUNCTION("""COMPUTED_VALUE"""),"Yes")</f>
        <v>Yes</v>
      </c>
      <c r="H99" s="29" t="str">
        <f>IFERROR(__xludf.DUMMYFUNCTION("""COMPUTED_VALUE"""),"No")</f>
        <v>No</v>
      </c>
      <c r="I99" s="29" t="str">
        <f>IFERROR(__xludf.DUMMYFUNCTION("""COMPUTED_VALUE"""),"Sk Hynix chips, works great")</f>
        <v>Sk Hynix chips, works great</v>
      </c>
      <c r="J99" s="29" t="str">
        <f>IFERROR(__xludf.DUMMYFUNCTION("""COMPUTED_VALUE"""),"Aphelion")</f>
        <v>Aphelion</v>
      </c>
      <c r="K99" s="29" t="str">
        <f>IFERROR(__xludf.DUMMYFUNCTION("""COMPUTED_VALUE"""),"USA")</f>
        <v>USA</v>
      </c>
      <c r="L99" s="29" t="str">
        <f>IFERROR(__xludf.DUMMYFUNCTION("""COMPUTED_VALUE"""),"Ebay")</f>
        <v>Ebay</v>
      </c>
      <c r="N99" s="28"/>
    </row>
    <row r="100">
      <c r="A100" s="29" t="str">
        <f>IFERROR(__xludf.DUMMYFUNCTION("""COMPUTED_VALUE"""),"DS923+")</f>
        <v>DS923+</v>
      </c>
      <c r="B100" s="29" t="str">
        <f>IFERROR(__xludf.DUMMYFUNCTION("""COMPUTED_VALUE"""),"7.3.2-86009 Update 4")</f>
        <v>7.3.2-86009 Update 4</v>
      </c>
      <c r="C100" s="29" t="str">
        <f>IFERROR(__xludf.DUMMYFUNCTION("""COMPUTED_VALUE"""),"Kingstone")</f>
        <v>Kingstone</v>
      </c>
      <c r="D100" s="29" t="str">
        <f>IFERROR(__xludf.DUMMYFUNCTION("""COMPUTED_VALUE"""),"KCP432SD8/32")</f>
        <v>KCP432SD8/32</v>
      </c>
      <c r="E100" s="29">
        <f>IFERROR(__xludf.DUMMYFUNCTION("""COMPUTED_VALUE"""),2.0)</f>
        <v>2</v>
      </c>
      <c r="F100" s="29">
        <f>IFERROR(__xludf.DUMMYFUNCTION("""COMPUTED_VALUE"""),64.0)</f>
        <v>64</v>
      </c>
      <c r="G100" s="29" t="str">
        <f>IFERROR(__xludf.DUMMYFUNCTION("""COMPUTED_VALUE"""),"Yes")</f>
        <v>Yes</v>
      </c>
      <c r="H100" s="29" t="str">
        <f>IFERROR(__xludf.DUMMYFUNCTION("""COMPUTED_VALUE"""),"No")</f>
        <v>No</v>
      </c>
      <c r="I100" s="29"/>
      <c r="J100" s="29" t="str">
        <f>IFERROR(__xludf.DUMMYFUNCTION("""COMPUTED_VALUE"""),"Piotr")</f>
        <v>Piotr</v>
      </c>
      <c r="K100" s="29" t="str">
        <f>IFERROR(__xludf.DUMMYFUNCTION("""COMPUTED_VALUE"""),"Poland")</f>
        <v>Poland</v>
      </c>
      <c r="L100" s="29" t="str">
        <f>IFERROR(__xludf.DUMMYFUNCTION("""COMPUTED_VALUE"""),"Allergo")</f>
        <v>Allergo</v>
      </c>
      <c r="N100" s="28"/>
    </row>
    <row r="101">
      <c r="N101" s="28"/>
    </row>
    <row r="102">
      <c r="N102" s="28"/>
    </row>
    <row r="103">
      <c r="N103" s="28"/>
    </row>
    <row r="104">
      <c r="N104" s="28"/>
    </row>
    <row r="105">
      <c r="N105" s="28"/>
    </row>
    <row r="106">
      <c r="N106" s="28"/>
    </row>
    <row r="107">
      <c r="N107" s="28"/>
    </row>
    <row r="108">
      <c r="N108" s="28"/>
    </row>
    <row r="109">
      <c r="N109" s="28"/>
    </row>
    <row r="110">
      <c r="N110" s="28"/>
    </row>
    <row r="111">
      <c r="N111" s="28"/>
    </row>
    <row r="112">
      <c r="N112" s="28"/>
    </row>
    <row r="113">
      <c r="N113" s="28"/>
    </row>
    <row r="114">
      <c r="N114" s="28"/>
    </row>
    <row r="115">
      <c r="N115" s="28"/>
    </row>
    <row r="116">
      <c r="N116" s="28"/>
    </row>
    <row r="117">
      <c r="N117" s="28"/>
    </row>
    <row r="118">
      <c r="N118" s="28"/>
    </row>
    <row r="119">
      <c r="N119" s="28"/>
    </row>
    <row r="120">
      <c r="N120" s="28"/>
    </row>
    <row r="121">
      <c r="N121" s="28"/>
    </row>
    <row r="122">
      <c r="N122" s="28"/>
    </row>
    <row r="123">
      <c r="N123" s="28"/>
    </row>
    <row r="124">
      <c r="N124" s="28"/>
    </row>
    <row r="125">
      <c r="N125" s="28"/>
    </row>
    <row r="126">
      <c r="N126" s="28"/>
    </row>
    <row r="127">
      <c r="N127" s="28"/>
    </row>
    <row r="128">
      <c r="N128" s="28"/>
    </row>
    <row r="129">
      <c r="N129" s="28"/>
    </row>
    <row r="130">
      <c r="N130" s="28"/>
    </row>
    <row r="131">
      <c r="N131" s="28"/>
    </row>
    <row r="132">
      <c r="N132" s="28"/>
    </row>
    <row r="133">
      <c r="N133" s="28"/>
    </row>
    <row r="134">
      <c r="N134" s="28"/>
    </row>
    <row r="135">
      <c r="N135" s="28"/>
    </row>
    <row r="136">
      <c r="N136" s="28"/>
    </row>
    <row r="137">
      <c r="N137" s="28"/>
    </row>
    <row r="138">
      <c r="N138" s="28"/>
    </row>
    <row r="139">
      <c r="N139" s="28"/>
    </row>
    <row r="140">
      <c r="N140" s="28"/>
    </row>
    <row r="141">
      <c r="N141" s="28"/>
    </row>
    <row r="142">
      <c r="N142" s="28"/>
    </row>
    <row r="143">
      <c r="N143" s="28"/>
    </row>
    <row r="144">
      <c r="N144" s="28"/>
    </row>
    <row r="145">
      <c r="N145" s="28"/>
    </row>
    <row r="146">
      <c r="N146" s="28"/>
    </row>
    <row r="147">
      <c r="N147" s="28"/>
    </row>
    <row r="148">
      <c r="N148" s="28"/>
    </row>
    <row r="149">
      <c r="N149" s="28"/>
    </row>
    <row r="150">
      <c r="N150" s="28"/>
    </row>
    <row r="151">
      <c r="N151" s="28"/>
    </row>
    <row r="152">
      <c r="N152" s="28"/>
    </row>
    <row r="153">
      <c r="N153" s="28"/>
    </row>
    <row r="154">
      <c r="N154" s="28"/>
    </row>
    <row r="155">
      <c r="N155" s="28"/>
    </row>
    <row r="156">
      <c r="N156" s="28"/>
    </row>
    <row r="157">
      <c r="N157" s="28"/>
    </row>
    <row r="158">
      <c r="N158" s="28"/>
    </row>
    <row r="159">
      <c r="N159" s="28"/>
    </row>
    <row r="160">
      <c r="N160" s="28"/>
    </row>
    <row r="161">
      <c r="N161" s="28"/>
    </row>
    <row r="162">
      <c r="N162" s="28"/>
    </row>
    <row r="163">
      <c r="N163" s="28"/>
    </row>
    <row r="164">
      <c r="N164" s="28"/>
    </row>
    <row r="165">
      <c r="N165" s="28"/>
    </row>
    <row r="166">
      <c r="N166" s="28"/>
    </row>
    <row r="167">
      <c r="N167" s="28"/>
    </row>
    <row r="168">
      <c r="N168" s="28"/>
    </row>
    <row r="169">
      <c r="N169" s="28"/>
    </row>
    <row r="170">
      <c r="N170" s="28"/>
    </row>
    <row r="171">
      <c r="N171" s="28"/>
    </row>
    <row r="172">
      <c r="N172" s="28"/>
    </row>
    <row r="173">
      <c r="N173" s="28"/>
    </row>
    <row r="174">
      <c r="N174" s="28"/>
    </row>
    <row r="175">
      <c r="N175" s="28"/>
    </row>
    <row r="176">
      <c r="N176" s="28"/>
    </row>
    <row r="177">
      <c r="N177" s="28"/>
    </row>
    <row r="178">
      <c r="N178" s="28"/>
    </row>
    <row r="179">
      <c r="N179" s="28"/>
    </row>
    <row r="180">
      <c r="N180" s="28"/>
    </row>
    <row r="181">
      <c r="N181" s="28"/>
    </row>
    <row r="182">
      <c r="N182" s="28"/>
    </row>
    <row r="183">
      <c r="N183" s="28"/>
    </row>
    <row r="184">
      <c r="N184" s="28"/>
    </row>
    <row r="185">
      <c r="N185" s="28"/>
    </row>
    <row r="186">
      <c r="N186" s="28"/>
    </row>
    <row r="187">
      <c r="N187" s="28"/>
    </row>
    <row r="188">
      <c r="N188" s="28"/>
    </row>
    <row r="189">
      <c r="N189" s="28"/>
    </row>
    <row r="190">
      <c r="N190" s="28"/>
    </row>
    <row r="191">
      <c r="N191" s="28"/>
    </row>
    <row r="192">
      <c r="N192" s="28"/>
    </row>
    <row r="193">
      <c r="N193" s="28"/>
    </row>
    <row r="194">
      <c r="N194" s="28"/>
    </row>
    <row r="195">
      <c r="N195" s="28"/>
    </row>
    <row r="196">
      <c r="N196" s="28"/>
    </row>
    <row r="197">
      <c r="N197" s="28"/>
    </row>
    <row r="198">
      <c r="N198" s="28"/>
    </row>
    <row r="199">
      <c r="N199" s="28"/>
    </row>
    <row r="200">
      <c r="N200" s="28"/>
    </row>
    <row r="201">
      <c r="N201" s="28"/>
    </row>
    <row r="202">
      <c r="N202" s="28"/>
    </row>
    <row r="203">
      <c r="N203" s="28"/>
    </row>
    <row r="204">
      <c r="N204" s="28"/>
    </row>
    <row r="205">
      <c r="N205" s="28"/>
    </row>
    <row r="206">
      <c r="N206" s="28"/>
    </row>
    <row r="207">
      <c r="N207" s="28"/>
    </row>
    <row r="208">
      <c r="N208" s="28"/>
    </row>
    <row r="209">
      <c r="N209" s="28"/>
    </row>
    <row r="210">
      <c r="N210" s="28"/>
    </row>
    <row r="211">
      <c r="N211" s="28"/>
    </row>
    <row r="212">
      <c r="N212" s="28"/>
    </row>
    <row r="213">
      <c r="N213" s="28"/>
    </row>
    <row r="214">
      <c r="N214" s="28"/>
    </row>
    <row r="215">
      <c r="N215" s="28"/>
    </row>
    <row r="216">
      <c r="N216" s="28"/>
    </row>
    <row r="217">
      <c r="N217" s="28"/>
    </row>
    <row r="218">
      <c r="N218" s="28"/>
    </row>
    <row r="219">
      <c r="N219" s="28"/>
    </row>
    <row r="220">
      <c r="N220" s="28"/>
    </row>
    <row r="221">
      <c r="N221" s="28"/>
    </row>
    <row r="222">
      <c r="N222" s="28"/>
    </row>
    <row r="223">
      <c r="N223" s="28"/>
    </row>
    <row r="224">
      <c r="N224" s="28"/>
    </row>
    <row r="225">
      <c r="N225" s="28"/>
    </row>
    <row r="226">
      <c r="N226" s="28"/>
    </row>
    <row r="227">
      <c r="N227" s="28"/>
    </row>
    <row r="228">
      <c r="N228" s="28"/>
    </row>
    <row r="229">
      <c r="N229" s="28"/>
    </row>
    <row r="230">
      <c r="N230" s="28"/>
    </row>
    <row r="231">
      <c r="N231" s="28"/>
    </row>
    <row r="232">
      <c r="N232" s="28"/>
    </row>
    <row r="233">
      <c r="N233" s="28"/>
    </row>
    <row r="234">
      <c r="N234" s="28"/>
    </row>
    <row r="235">
      <c r="N235" s="28"/>
    </row>
    <row r="236">
      <c r="N236" s="28"/>
    </row>
    <row r="237">
      <c r="N237" s="28"/>
    </row>
    <row r="238">
      <c r="N238" s="28"/>
    </row>
    <row r="239">
      <c r="N239" s="28"/>
    </row>
    <row r="240">
      <c r="N240" s="28"/>
    </row>
    <row r="241">
      <c r="N241" s="28"/>
    </row>
    <row r="242">
      <c r="N242" s="28"/>
    </row>
    <row r="243">
      <c r="N243" s="28"/>
    </row>
    <row r="244">
      <c r="N244" s="28"/>
    </row>
    <row r="245">
      <c r="N245" s="28"/>
    </row>
    <row r="246">
      <c r="N246" s="28"/>
    </row>
    <row r="247">
      <c r="N247" s="28"/>
    </row>
    <row r="248">
      <c r="N248" s="28"/>
    </row>
    <row r="249">
      <c r="N249" s="28"/>
    </row>
    <row r="250">
      <c r="N250" s="28"/>
    </row>
    <row r="251">
      <c r="N251" s="28"/>
    </row>
    <row r="252">
      <c r="N252" s="28"/>
    </row>
    <row r="253">
      <c r="N253" s="28"/>
    </row>
    <row r="254">
      <c r="N254" s="28"/>
    </row>
    <row r="255">
      <c r="N255" s="28"/>
    </row>
    <row r="256">
      <c r="N256" s="28"/>
    </row>
    <row r="257">
      <c r="N257" s="28"/>
    </row>
    <row r="258">
      <c r="N258" s="28"/>
    </row>
    <row r="259">
      <c r="N259" s="28"/>
    </row>
    <row r="260">
      <c r="N260" s="28"/>
    </row>
    <row r="261">
      <c r="N261" s="28"/>
    </row>
    <row r="262">
      <c r="N262" s="28"/>
    </row>
    <row r="263">
      <c r="N263" s="28"/>
    </row>
    <row r="264">
      <c r="N264" s="28"/>
    </row>
    <row r="265">
      <c r="N265" s="28"/>
    </row>
    <row r="266">
      <c r="N266" s="28"/>
    </row>
    <row r="267">
      <c r="N267" s="28"/>
    </row>
    <row r="268">
      <c r="N268" s="28"/>
    </row>
    <row r="269">
      <c r="N269" s="28"/>
    </row>
    <row r="270">
      <c r="N270" s="28"/>
    </row>
    <row r="271">
      <c r="N271" s="28"/>
    </row>
    <row r="272">
      <c r="N272" s="28"/>
    </row>
    <row r="273">
      <c r="N273" s="28"/>
    </row>
    <row r="274">
      <c r="N274" s="28"/>
    </row>
    <row r="275">
      <c r="N275" s="28"/>
    </row>
    <row r="276">
      <c r="N276" s="28"/>
    </row>
    <row r="277">
      <c r="N277" s="28"/>
    </row>
    <row r="278">
      <c r="N278" s="28"/>
    </row>
    <row r="279">
      <c r="N279" s="28"/>
    </row>
    <row r="280">
      <c r="N280" s="28"/>
    </row>
    <row r="281">
      <c r="N281" s="28"/>
    </row>
    <row r="282">
      <c r="N282" s="28"/>
    </row>
    <row r="283">
      <c r="N283" s="28"/>
    </row>
    <row r="284">
      <c r="N284" s="28"/>
    </row>
    <row r="285">
      <c r="N285" s="28"/>
    </row>
    <row r="286">
      <c r="N286" s="28"/>
    </row>
    <row r="287">
      <c r="N287" s="28"/>
    </row>
    <row r="288">
      <c r="N288" s="28"/>
    </row>
    <row r="289">
      <c r="N289" s="28"/>
    </row>
    <row r="290">
      <c r="N290" s="28"/>
    </row>
    <row r="291">
      <c r="N291" s="28"/>
    </row>
    <row r="292">
      <c r="N292" s="28"/>
    </row>
    <row r="293">
      <c r="N293" s="28"/>
    </row>
    <row r="294">
      <c r="N294" s="28"/>
    </row>
    <row r="295">
      <c r="N295" s="28"/>
    </row>
    <row r="296">
      <c r="N296" s="28"/>
    </row>
    <row r="297">
      <c r="N297" s="28"/>
    </row>
    <row r="298">
      <c r="N298" s="28"/>
    </row>
    <row r="299">
      <c r="N299" s="28"/>
    </row>
    <row r="300">
      <c r="N300" s="28"/>
    </row>
    <row r="301">
      <c r="N301" s="28"/>
    </row>
    <row r="302">
      <c r="N302" s="28"/>
    </row>
    <row r="303">
      <c r="N303" s="28"/>
    </row>
    <row r="304">
      <c r="N304" s="28"/>
    </row>
    <row r="305">
      <c r="N305" s="28"/>
    </row>
    <row r="306">
      <c r="N306" s="28"/>
    </row>
    <row r="307">
      <c r="N307" s="28"/>
    </row>
    <row r="308">
      <c r="N308" s="28"/>
    </row>
    <row r="309">
      <c r="N309" s="28"/>
    </row>
    <row r="310">
      <c r="N310" s="28"/>
    </row>
    <row r="311">
      <c r="N311" s="28"/>
    </row>
    <row r="312">
      <c r="N312" s="28"/>
    </row>
    <row r="313">
      <c r="N313" s="28"/>
    </row>
    <row r="314">
      <c r="N314" s="28"/>
    </row>
    <row r="315">
      <c r="N315" s="28"/>
    </row>
    <row r="316">
      <c r="N316" s="28"/>
    </row>
    <row r="317">
      <c r="N317" s="28"/>
    </row>
    <row r="318">
      <c r="N318" s="28"/>
    </row>
    <row r="319">
      <c r="N319" s="28"/>
    </row>
    <row r="320">
      <c r="N320" s="28"/>
    </row>
    <row r="321">
      <c r="N321" s="28"/>
    </row>
    <row r="322">
      <c r="N322" s="28"/>
    </row>
    <row r="323">
      <c r="N323" s="28"/>
    </row>
    <row r="324">
      <c r="N324" s="28"/>
    </row>
    <row r="325">
      <c r="N325" s="28"/>
    </row>
    <row r="326">
      <c r="N326" s="28"/>
    </row>
    <row r="327">
      <c r="N327" s="28"/>
    </row>
    <row r="328">
      <c r="N328" s="28"/>
    </row>
    <row r="329">
      <c r="N329" s="28"/>
    </row>
    <row r="330">
      <c r="N330" s="28"/>
    </row>
    <row r="331">
      <c r="N331" s="28"/>
    </row>
    <row r="332">
      <c r="N332" s="28"/>
    </row>
    <row r="333">
      <c r="N333" s="28"/>
    </row>
    <row r="334">
      <c r="N334" s="28"/>
    </row>
    <row r="335">
      <c r="N335" s="28"/>
    </row>
    <row r="336">
      <c r="N336" s="28"/>
    </row>
    <row r="337">
      <c r="N337" s="28"/>
    </row>
    <row r="338">
      <c r="N338" s="28"/>
    </row>
    <row r="339">
      <c r="N339" s="28"/>
    </row>
    <row r="340">
      <c r="N340" s="28"/>
    </row>
    <row r="341">
      <c r="N341" s="28"/>
    </row>
    <row r="342">
      <c r="N342" s="28"/>
    </row>
    <row r="343">
      <c r="N343" s="28"/>
    </row>
    <row r="344">
      <c r="N344" s="28"/>
    </row>
    <row r="345">
      <c r="N345" s="28"/>
    </row>
    <row r="346">
      <c r="N346" s="28"/>
    </row>
    <row r="347">
      <c r="N347" s="28"/>
    </row>
    <row r="348">
      <c r="N348" s="28"/>
    </row>
    <row r="349">
      <c r="N349" s="28"/>
    </row>
    <row r="350">
      <c r="N350" s="28"/>
    </row>
    <row r="351">
      <c r="N351" s="28"/>
    </row>
    <row r="352">
      <c r="N352" s="28"/>
    </row>
    <row r="353">
      <c r="N353" s="28"/>
    </row>
    <row r="354">
      <c r="N354" s="28"/>
    </row>
    <row r="355">
      <c r="N355" s="28"/>
    </row>
    <row r="356">
      <c r="N356" s="28"/>
    </row>
    <row r="357">
      <c r="N357" s="28"/>
    </row>
    <row r="358">
      <c r="N358" s="28"/>
    </row>
    <row r="359">
      <c r="N359" s="28"/>
    </row>
    <row r="360">
      <c r="N360" s="28"/>
    </row>
    <row r="361">
      <c r="N361" s="28"/>
    </row>
    <row r="362">
      <c r="N362" s="28"/>
    </row>
    <row r="363">
      <c r="N363" s="28"/>
    </row>
    <row r="364">
      <c r="N364" s="28"/>
    </row>
    <row r="365">
      <c r="N365" s="28"/>
    </row>
    <row r="366">
      <c r="N366" s="28"/>
    </row>
    <row r="367">
      <c r="N367" s="28"/>
    </row>
    <row r="368">
      <c r="N368" s="28"/>
    </row>
    <row r="369">
      <c r="N369" s="28"/>
    </row>
    <row r="370">
      <c r="N370" s="28"/>
    </row>
    <row r="371">
      <c r="N371" s="28"/>
    </row>
    <row r="372">
      <c r="N372" s="28"/>
    </row>
    <row r="373">
      <c r="N373" s="28"/>
    </row>
    <row r="374">
      <c r="N374" s="28"/>
    </row>
    <row r="375">
      <c r="N375" s="28"/>
    </row>
    <row r="376">
      <c r="N376" s="28"/>
    </row>
    <row r="377">
      <c r="N377" s="28"/>
    </row>
    <row r="378">
      <c r="N378" s="28"/>
    </row>
    <row r="379">
      <c r="N379" s="28"/>
    </row>
    <row r="380">
      <c r="N380" s="28"/>
    </row>
    <row r="381">
      <c r="N381" s="28"/>
    </row>
    <row r="382">
      <c r="N382" s="28"/>
    </row>
    <row r="383">
      <c r="N383" s="28"/>
    </row>
    <row r="384">
      <c r="N384" s="28"/>
    </row>
    <row r="385">
      <c r="N385" s="28"/>
    </row>
    <row r="386">
      <c r="N386" s="28"/>
    </row>
    <row r="387">
      <c r="N387" s="28"/>
    </row>
    <row r="388">
      <c r="N388" s="28"/>
    </row>
    <row r="389">
      <c r="N389" s="28"/>
    </row>
    <row r="390">
      <c r="N390" s="28"/>
    </row>
    <row r="391">
      <c r="N391" s="28"/>
    </row>
    <row r="392">
      <c r="N392" s="28"/>
    </row>
    <row r="393">
      <c r="N393" s="28"/>
    </row>
    <row r="394">
      <c r="N394" s="28"/>
    </row>
    <row r="395">
      <c r="N395" s="28"/>
    </row>
    <row r="396">
      <c r="N396" s="28"/>
    </row>
    <row r="397">
      <c r="N397" s="28"/>
    </row>
    <row r="398">
      <c r="N398" s="28"/>
    </row>
    <row r="399">
      <c r="N399" s="28"/>
    </row>
    <row r="400">
      <c r="N400" s="28"/>
    </row>
    <row r="401">
      <c r="N401" s="28"/>
    </row>
    <row r="402">
      <c r="N402" s="28"/>
    </row>
    <row r="403">
      <c r="N403" s="28"/>
    </row>
    <row r="404">
      <c r="N404" s="28"/>
    </row>
    <row r="405">
      <c r="N405" s="28"/>
    </row>
    <row r="406">
      <c r="N406" s="28"/>
    </row>
    <row r="407">
      <c r="N407" s="28"/>
    </row>
    <row r="408">
      <c r="N408" s="28"/>
    </row>
    <row r="409">
      <c r="N409" s="28"/>
    </row>
    <row r="410">
      <c r="N410" s="28"/>
    </row>
    <row r="411">
      <c r="N411" s="28"/>
    </row>
    <row r="412">
      <c r="N412" s="28"/>
    </row>
    <row r="413">
      <c r="N413" s="28"/>
    </row>
    <row r="414">
      <c r="N414" s="28"/>
    </row>
    <row r="415">
      <c r="N415" s="28"/>
    </row>
    <row r="416">
      <c r="N416" s="28"/>
    </row>
    <row r="417">
      <c r="N417" s="28"/>
    </row>
    <row r="418">
      <c r="N418" s="28"/>
    </row>
    <row r="419">
      <c r="N419" s="28"/>
    </row>
    <row r="420">
      <c r="N420" s="28"/>
    </row>
    <row r="421">
      <c r="N421" s="28"/>
    </row>
    <row r="422">
      <c r="N422" s="28"/>
    </row>
    <row r="423">
      <c r="N423" s="28"/>
    </row>
    <row r="424">
      <c r="N424" s="28"/>
    </row>
    <row r="425">
      <c r="N425" s="28"/>
    </row>
    <row r="426">
      <c r="N426" s="28"/>
    </row>
    <row r="427">
      <c r="N427" s="28"/>
    </row>
    <row r="428">
      <c r="N428" s="28"/>
    </row>
    <row r="429">
      <c r="N429" s="28"/>
    </row>
    <row r="430">
      <c r="N430" s="28"/>
    </row>
    <row r="431">
      <c r="N431" s="28"/>
    </row>
    <row r="432">
      <c r="N432" s="28"/>
    </row>
    <row r="433">
      <c r="N433" s="28"/>
    </row>
    <row r="434">
      <c r="N434" s="28"/>
    </row>
    <row r="435">
      <c r="N435" s="28"/>
    </row>
    <row r="436">
      <c r="N436" s="28"/>
    </row>
    <row r="437">
      <c r="N437" s="28"/>
    </row>
    <row r="438">
      <c r="N438" s="28"/>
    </row>
    <row r="439">
      <c r="N439" s="28"/>
    </row>
    <row r="440">
      <c r="N440" s="28"/>
    </row>
    <row r="441">
      <c r="N441" s="28"/>
    </row>
    <row r="442">
      <c r="N442" s="28"/>
    </row>
    <row r="443">
      <c r="N443" s="28"/>
    </row>
    <row r="444">
      <c r="N444" s="28"/>
    </row>
    <row r="445">
      <c r="N445" s="28"/>
    </row>
    <row r="446">
      <c r="N446" s="28"/>
    </row>
    <row r="447">
      <c r="N447" s="28"/>
    </row>
    <row r="448">
      <c r="N448" s="28"/>
    </row>
    <row r="449">
      <c r="N449" s="28"/>
    </row>
    <row r="450">
      <c r="N450" s="28"/>
    </row>
    <row r="451">
      <c r="N451" s="28"/>
    </row>
    <row r="452">
      <c r="N452" s="28"/>
    </row>
    <row r="453">
      <c r="N453" s="28"/>
    </row>
    <row r="454">
      <c r="N454" s="28"/>
    </row>
    <row r="455">
      <c r="N455" s="28"/>
    </row>
    <row r="456">
      <c r="N456" s="28"/>
    </row>
    <row r="457">
      <c r="N457" s="28"/>
    </row>
    <row r="458">
      <c r="N458" s="28"/>
    </row>
    <row r="459">
      <c r="N459" s="28"/>
    </row>
    <row r="460">
      <c r="N460" s="28"/>
    </row>
    <row r="461">
      <c r="N461" s="28"/>
    </row>
    <row r="462">
      <c r="N462" s="28"/>
    </row>
    <row r="463">
      <c r="N463" s="28"/>
    </row>
    <row r="464">
      <c r="N464" s="28"/>
    </row>
    <row r="465">
      <c r="N465" s="28"/>
    </row>
    <row r="466">
      <c r="N466" s="28"/>
    </row>
    <row r="467">
      <c r="N467" s="28"/>
    </row>
    <row r="468">
      <c r="N468" s="28"/>
    </row>
    <row r="469">
      <c r="N469" s="28"/>
    </row>
    <row r="470">
      <c r="N470" s="28"/>
    </row>
    <row r="471">
      <c r="N471" s="28"/>
    </row>
    <row r="472">
      <c r="N472" s="28"/>
    </row>
    <row r="473">
      <c r="N473" s="28"/>
    </row>
    <row r="474">
      <c r="N474" s="28"/>
    </row>
    <row r="475">
      <c r="N475" s="28"/>
    </row>
    <row r="476">
      <c r="N476" s="28"/>
    </row>
    <row r="477">
      <c r="N477" s="28"/>
    </row>
    <row r="478">
      <c r="N478" s="28"/>
    </row>
    <row r="479">
      <c r="N479" s="28"/>
    </row>
    <row r="480">
      <c r="N480" s="28"/>
    </row>
    <row r="481">
      <c r="N481" s="28"/>
    </row>
    <row r="482">
      <c r="N482" s="28"/>
    </row>
    <row r="483">
      <c r="N483" s="28"/>
    </row>
    <row r="484">
      <c r="N484" s="28"/>
    </row>
    <row r="485">
      <c r="N485" s="28"/>
    </row>
    <row r="486">
      <c r="N486" s="28"/>
    </row>
    <row r="487">
      <c r="N487" s="28"/>
    </row>
    <row r="488">
      <c r="N488" s="28"/>
    </row>
    <row r="489">
      <c r="N489" s="28"/>
    </row>
    <row r="490">
      <c r="N490" s="28"/>
    </row>
    <row r="491">
      <c r="N491" s="28"/>
    </row>
    <row r="492">
      <c r="N492" s="28"/>
    </row>
    <row r="493">
      <c r="N493" s="28"/>
    </row>
    <row r="494">
      <c r="N494" s="28"/>
    </row>
    <row r="495">
      <c r="N495" s="28"/>
    </row>
    <row r="496">
      <c r="N496" s="28"/>
    </row>
    <row r="497">
      <c r="N497" s="28"/>
    </row>
    <row r="498">
      <c r="N498" s="28"/>
    </row>
    <row r="499">
      <c r="N499" s="28"/>
    </row>
    <row r="500">
      <c r="N500" s="28"/>
    </row>
    <row r="501">
      <c r="N501" s="28"/>
    </row>
    <row r="502">
      <c r="N502" s="28"/>
    </row>
    <row r="503">
      <c r="N503" s="28"/>
    </row>
    <row r="504">
      <c r="N504" s="28"/>
    </row>
    <row r="505">
      <c r="N505" s="28"/>
    </row>
    <row r="506">
      <c r="N506" s="28"/>
    </row>
    <row r="507">
      <c r="N507" s="28"/>
    </row>
    <row r="508">
      <c r="N508" s="28"/>
    </row>
    <row r="509">
      <c r="N509" s="28"/>
    </row>
    <row r="510">
      <c r="N510" s="28"/>
    </row>
    <row r="511">
      <c r="N511" s="28"/>
    </row>
    <row r="512">
      <c r="N512" s="28"/>
    </row>
    <row r="513">
      <c r="N513" s="28"/>
    </row>
    <row r="514">
      <c r="N514" s="28"/>
    </row>
    <row r="515">
      <c r="N515" s="28"/>
    </row>
    <row r="516">
      <c r="N516" s="28"/>
    </row>
    <row r="517">
      <c r="N517" s="28"/>
    </row>
    <row r="518">
      <c r="N518" s="28"/>
    </row>
    <row r="519">
      <c r="N519" s="28"/>
    </row>
    <row r="520">
      <c r="N520" s="28"/>
    </row>
    <row r="521">
      <c r="N521" s="28"/>
    </row>
    <row r="522">
      <c r="N522" s="28"/>
    </row>
    <row r="523">
      <c r="N523" s="28"/>
    </row>
    <row r="524">
      <c r="N524" s="28"/>
    </row>
    <row r="525">
      <c r="N525" s="28"/>
    </row>
    <row r="526">
      <c r="N526" s="28"/>
    </row>
    <row r="527">
      <c r="N527" s="28"/>
    </row>
    <row r="528">
      <c r="N528" s="28"/>
    </row>
    <row r="529">
      <c r="N529" s="28"/>
    </row>
    <row r="530">
      <c r="N530" s="28"/>
    </row>
    <row r="531">
      <c r="N531" s="28"/>
    </row>
    <row r="532">
      <c r="N532" s="28"/>
    </row>
    <row r="533">
      <c r="N533" s="28"/>
    </row>
    <row r="534">
      <c r="N534" s="28"/>
    </row>
    <row r="535">
      <c r="N535" s="28"/>
    </row>
    <row r="536">
      <c r="N536" s="28"/>
    </row>
    <row r="537">
      <c r="N537" s="28"/>
    </row>
    <row r="538">
      <c r="N538" s="28"/>
    </row>
    <row r="539">
      <c r="N539" s="28"/>
    </row>
    <row r="540">
      <c r="N540" s="28"/>
    </row>
    <row r="541">
      <c r="N541" s="28"/>
    </row>
    <row r="542">
      <c r="N542" s="28"/>
    </row>
    <row r="543">
      <c r="N543" s="28"/>
    </row>
    <row r="544">
      <c r="N544" s="28"/>
    </row>
    <row r="545">
      <c r="N545" s="28"/>
    </row>
    <row r="546">
      <c r="N546" s="28"/>
    </row>
    <row r="547">
      <c r="N547" s="28"/>
    </row>
    <row r="548">
      <c r="N548" s="28"/>
    </row>
    <row r="549">
      <c r="N549" s="28"/>
    </row>
    <row r="550">
      <c r="N550" s="28"/>
    </row>
    <row r="551">
      <c r="N551" s="28"/>
    </row>
    <row r="552">
      <c r="N552" s="28"/>
    </row>
    <row r="553">
      <c r="N553" s="28"/>
    </row>
    <row r="554">
      <c r="N554" s="28"/>
    </row>
    <row r="555">
      <c r="N555" s="28"/>
    </row>
    <row r="556">
      <c r="N556" s="28"/>
    </row>
    <row r="557">
      <c r="N557" s="28"/>
    </row>
    <row r="558">
      <c r="N558" s="28"/>
    </row>
    <row r="559">
      <c r="N559" s="28"/>
    </row>
    <row r="560">
      <c r="N560" s="28"/>
    </row>
    <row r="561">
      <c r="N561" s="28"/>
    </row>
    <row r="562">
      <c r="N562" s="28"/>
    </row>
    <row r="563">
      <c r="N563" s="28"/>
    </row>
    <row r="564">
      <c r="N564" s="28"/>
    </row>
    <row r="565">
      <c r="N565" s="28"/>
    </row>
    <row r="566">
      <c r="N566" s="28"/>
    </row>
    <row r="567">
      <c r="N567" s="28"/>
    </row>
    <row r="568">
      <c r="N568" s="28"/>
    </row>
    <row r="569">
      <c r="N569" s="28"/>
    </row>
    <row r="570">
      <c r="N570" s="28"/>
    </row>
    <row r="571">
      <c r="N571" s="28"/>
    </row>
    <row r="572">
      <c r="N572" s="28"/>
    </row>
    <row r="573">
      <c r="N573" s="28"/>
    </row>
    <row r="574">
      <c r="N574" s="28"/>
    </row>
    <row r="575">
      <c r="N575" s="28"/>
    </row>
    <row r="576">
      <c r="N576" s="28"/>
    </row>
    <row r="577">
      <c r="N577" s="28"/>
    </row>
    <row r="578">
      <c r="N578" s="28"/>
    </row>
    <row r="579">
      <c r="N579" s="28"/>
    </row>
    <row r="580">
      <c r="N580" s="28"/>
    </row>
    <row r="581">
      <c r="N581" s="28"/>
    </row>
    <row r="582">
      <c r="N582" s="28"/>
    </row>
    <row r="583">
      <c r="N583" s="28"/>
    </row>
    <row r="584">
      <c r="N584" s="28"/>
    </row>
    <row r="585">
      <c r="N585" s="28"/>
    </row>
    <row r="586">
      <c r="N586" s="28"/>
    </row>
    <row r="587">
      <c r="N587" s="28"/>
    </row>
    <row r="588">
      <c r="N588" s="28"/>
    </row>
    <row r="589">
      <c r="N589" s="28"/>
    </row>
    <row r="590">
      <c r="N590" s="28"/>
    </row>
    <row r="591">
      <c r="N591" s="28"/>
    </row>
    <row r="592">
      <c r="N592" s="28"/>
    </row>
    <row r="593">
      <c r="N593" s="28"/>
    </row>
    <row r="594">
      <c r="N594" s="28"/>
    </row>
    <row r="595">
      <c r="N595" s="28"/>
    </row>
    <row r="596">
      <c r="N596" s="28"/>
    </row>
    <row r="597">
      <c r="N597" s="28"/>
    </row>
    <row r="598">
      <c r="N598" s="28"/>
    </row>
    <row r="599">
      <c r="N599" s="28"/>
    </row>
    <row r="600">
      <c r="N600" s="28"/>
    </row>
    <row r="601">
      <c r="N601" s="28"/>
    </row>
    <row r="602">
      <c r="N602" s="28"/>
    </row>
    <row r="603">
      <c r="N603" s="28"/>
    </row>
    <row r="604">
      <c r="N604" s="28"/>
    </row>
    <row r="605">
      <c r="N605" s="28"/>
    </row>
    <row r="606">
      <c r="N606" s="28"/>
    </row>
    <row r="607">
      <c r="N607" s="28"/>
    </row>
    <row r="608">
      <c r="N608" s="28"/>
    </row>
    <row r="609">
      <c r="N609" s="28"/>
    </row>
    <row r="610">
      <c r="N610" s="28"/>
    </row>
    <row r="611">
      <c r="N611" s="28"/>
    </row>
    <row r="612">
      <c r="N612" s="28"/>
    </row>
    <row r="613">
      <c r="N613" s="28"/>
    </row>
    <row r="614">
      <c r="N614" s="28"/>
    </row>
    <row r="615">
      <c r="N615" s="28"/>
    </row>
    <row r="616">
      <c r="N616" s="28"/>
    </row>
    <row r="617">
      <c r="N617" s="28"/>
    </row>
    <row r="618">
      <c r="N618" s="28"/>
    </row>
    <row r="619">
      <c r="N619" s="28"/>
    </row>
    <row r="620">
      <c r="N620" s="28"/>
    </row>
    <row r="621">
      <c r="N621" s="28"/>
    </row>
    <row r="622">
      <c r="N622" s="28"/>
    </row>
    <row r="623">
      <c r="N623" s="28"/>
    </row>
    <row r="624">
      <c r="N624" s="28"/>
    </row>
    <row r="625">
      <c r="N625" s="28"/>
    </row>
    <row r="626">
      <c r="N626" s="28"/>
    </row>
    <row r="627">
      <c r="N627" s="28"/>
    </row>
    <row r="628">
      <c r="N628" s="28"/>
    </row>
    <row r="629">
      <c r="N629" s="28"/>
    </row>
    <row r="630">
      <c r="N630" s="28"/>
    </row>
    <row r="631">
      <c r="N631" s="28"/>
    </row>
    <row r="632">
      <c r="N632" s="28"/>
    </row>
    <row r="633">
      <c r="N633" s="28"/>
    </row>
    <row r="634">
      <c r="N634" s="28"/>
    </row>
    <row r="635">
      <c r="N635" s="28"/>
    </row>
    <row r="636">
      <c r="N636" s="28"/>
    </row>
    <row r="637">
      <c r="N637" s="28"/>
    </row>
    <row r="638">
      <c r="N638" s="28"/>
    </row>
    <row r="639">
      <c r="N639" s="28"/>
    </row>
    <row r="640">
      <c r="N640" s="28"/>
    </row>
    <row r="641">
      <c r="N641" s="28"/>
    </row>
    <row r="642">
      <c r="N642" s="28"/>
    </row>
    <row r="643">
      <c r="N643" s="28"/>
    </row>
    <row r="644">
      <c r="N644" s="28"/>
    </row>
    <row r="645">
      <c r="N645" s="28"/>
    </row>
    <row r="646">
      <c r="N646" s="28"/>
    </row>
    <row r="647">
      <c r="N647" s="28"/>
    </row>
    <row r="648">
      <c r="N648" s="28"/>
    </row>
    <row r="649">
      <c r="N649" s="28"/>
    </row>
    <row r="650">
      <c r="N650" s="28"/>
    </row>
    <row r="651">
      <c r="N651" s="28"/>
    </row>
    <row r="652">
      <c r="N652" s="28"/>
    </row>
    <row r="653">
      <c r="N653" s="28"/>
    </row>
    <row r="654">
      <c r="N654" s="28"/>
    </row>
    <row r="655">
      <c r="N655" s="28"/>
    </row>
    <row r="656">
      <c r="N656" s="28"/>
    </row>
    <row r="657">
      <c r="N657" s="28"/>
    </row>
    <row r="658">
      <c r="N658" s="28"/>
    </row>
    <row r="659">
      <c r="N659" s="28"/>
    </row>
    <row r="660">
      <c r="N660" s="28"/>
    </row>
    <row r="661">
      <c r="N661" s="28"/>
    </row>
    <row r="662">
      <c r="N662" s="28"/>
    </row>
    <row r="663">
      <c r="N663" s="28"/>
    </row>
    <row r="664">
      <c r="N664" s="28"/>
    </row>
    <row r="665">
      <c r="N665" s="28"/>
    </row>
    <row r="666">
      <c r="N666" s="28"/>
    </row>
    <row r="667">
      <c r="N667" s="28"/>
    </row>
    <row r="668">
      <c r="N668" s="28"/>
    </row>
    <row r="669">
      <c r="N669" s="28"/>
    </row>
    <row r="670">
      <c r="N670" s="28"/>
    </row>
    <row r="671">
      <c r="N671" s="28"/>
    </row>
    <row r="672">
      <c r="N672" s="28"/>
    </row>
    <row r="673">
      <c r="N673" s="28"/>
    </row>
    <row r="674">
      <c r="N674" s="28"/>
    </row>
    <row r="675">
      <c r="N675" s="28"/>
    </row>
    <row r="676">
      <c r="N676" s="28"/>
    </row>
    <row r="677">
      <c r="N677" s="28"/>
    </row>
    <row r="678">
      <c r="N678" s="28"/>
    </row>
    <row r="679">
      <c r="N679" s="28"/>
    </row>
    <row r="680">
      <c r="N680" s="28"/>
    </row>
    <row r="681">
      <c r="N681" s="28"/>
    </row>
    <row r="682">
      <c r="N682" s="28"/>
    </row>
    <row r="683">
      <c r="N683" s="28"/>
    </row>
    <row r="684">
      <c r="N684" s="28"/>
    </row>
    <row r="685">
      <c r="N685" s="28"/>
    </row>
    <row r="686">
      <c r="N686" s="28"/>
    </row>
    <row r="687">
      <c r="N687" s="28"/>
    </row>
    <row r="688">
      <c r="N688" s="28"/>
    </row>
    <row r="689">
      <c r="N689" s="28"/>
    </row>
    <row r="690">
      <c r="N690" s="28"/>
    </row>
    <row r="691">
      <c r="N691" s="28"/>
    </row>
    <row r="692">
      <c r="N692" s="28"/>
    </row>
    <row r="693">
      <c r="N693" s="28"/>
    </row>
    <row r="694">
      <c r="N694" s="28"/>
    </row>
    <row r="695">
      <c r="N695" s="28"/>
    </row>
    <row r="696">
      <c r="N696" s="28"/>
    </row>
    <row r="697">
      <c r="N697" s="28"/>
    </row>
    <row r="698">
      <c r="N698" s="28"/>
    </row>
    <row r="699">
      <c r="N699" s="28"/>
    </row>
    <row r="700">
      <c r="N700" s="28"/>
    </row>
    <row r="701">
      <c r="N701" s="28"/>
    </row>
    <row r="702">
      <c r="N702" s="28"/>
    </row>
    <row r="703">
      <c r="N703" s="28"/>
    </row>
    <row r="704">
      <c r="N704" s="28"/>
    </row>
    <row r="705">
      <c r="N705" s="28"/>
    </row>
    <row r="706">
      <c r="N706" s="28"/>
    </row>
    <row r="707">
      <c r="N707" s="28"/>
    </row>
    <row r="708">
      <c r="N708" s="28"/>
    </row>
    <row r="709">
      <c r="N709" s="28"/>
    </row>
    <row r="710">
      <c r="N710" s="28"/>
    </row>
    <row r="711">
      <c r="N711" s="28"/>
    </row>
    <row r="712">
      <c r="N712" s="28"/>
    </row>
    <row r="713">
      <c r="N713" s="28"/>
    </row>
    <row r="714">
      <c r="N714" s="28"/>
    </row>
    <row r="715">
      <c r="N715" s="28"/>
    </row>
    <row r="716">
      <c r="N716" s="28"/>
    </row>
    <row r="717">
      <c r="N717" s="28"/>
    </row>
    <row r="718">
      <c r="N718" s="28"/>
    </row>
    <row r="719">
      <c r="N719" s="28"/>
    </row>
    <row r="720">
      <c r="N720" s="28"/>
    </row>
    <row r="721">
      <c r="N721" s="28"/>
    </row>
    <row r="722">
      <c r="N722" s="28"/>
    </row>
    <row r="723">
      <c r="N723" s="28"/>
    </row>
    <row r="724">
      <c r="N724" s="28"/>
    </row>
    <row r="725">
      <c r="N725" s="28"/>
    </row>
    <row r="726">
      <c r="N726" s="28"/>
    </row>
    <row r="727">
      <c r="N727" s="28"/>
    </row>
    <row r="728">
      <c r="N728" s="28"/>
    </row>
    <row r="729">
      <c r="N729" s="28"/>
    </row>
    <row r="730">
      <c r="N730" s="28"/>
    </row>
    <row r="731">
      <c r="N731" s="28"/>
    </row>
    <row r="732">
      <c r="N732" s="28"/>
    </row>
    <row r="733">
      <c r="N733" s="28"/>
    </row>
    <row r="734">
      <c r="N734" s="28"/>
    </row>
    <row r="735">
      <c r="N735" s="28"/>
    </row>
    <row r="736">
      <c r="N736" s="28"/>
    </row>
    <row r="737">
      <c r="N737" s="28"/>
    </row>
    <row r="738">
      <c r="N738" s="28"/>
    </row>
    <row r="739">
      <c r="N739" s="28"/>
    </row>
    <row r="740">
      <c r="N740" s="28"/>
    </row>
    <row r="741">
      <c r="N741" s="28"/>
    </row>
    <row r="742">
      <c r="N742" s="28"/>
    </row>
    <row r="743">
      <c r="N743" s="28"/>
    </row>
    <row r="744">
      <c r="N744" s="28"/>
    </row>
    <row r="745">
      <c r="N745" s="28"/>
    </row>
    <row r="746">
      <c r="N746" s="28"/>
    </row>
    <row r="747">
      <c r="N747" s="28"/>
    </row>
    <row r="748">
      <c r="N748" s="28"/>
    </row>
    <row r="749">
      <c r="N749" s="28"/>
    </row>
    <row r="750">
      <c r="N750" s="28"/>
    </row>
    <row r="751">
      <c r="N751" s="28"/>
    </row>
    <row r="752">
      <c r="N752" s="28"/>
    </row>
    <row r="753">
      <c r="N753" s="28"/>
    </row>
    <row r="754">
      <c r="N754" s="28"/>
    </row>
    <row r="755">
      <c r="N755" s="28"/>
    </row>
    <row r="756">
      <c r="N756" s="28"/>
    </row>
    <row r="757">
      <c r="N757" s="28"/>
    </row>
    <row r="758">
      <c r="N758" s="28"/>
    </row>
    <row r="759">
      <c r="N759" s="28"/>
    </row>
    <row r="760">
      <c r="N760" s="28"/>
    </row>
    <row r="761">
      <c r="N761" s="28"/>
    </row>
    <row r="762">
      <c r="N762" s="28"/>
    </row>
    <row r="763">
      <c r="N763" s="28"/>
    </row>
    <row r="764">
      <c r="N764" s="28"/>
    </row>
    <row r="765">
      <c r="N765" s="28"/>
    </row>
    <row r="766">
      <c r="N766" s="28"/>
    </row>
    <row r="767">
      <c r="N767" s="28"/>
    </row>
    <row r="768">
      <c r="N768" s="28"/>
    </row>
    <row r="769">
      <c r="N769" s="28"/>
    </row>
    <row r="770">
      <c r="N770" s="28"/>
    </row>
    <row r="771">
      <c r="N771" s="28"/>
    </row>
    <row r="772">
      <c r="N772" s="28"/>
    </row>
    <row r="773">
      <c r="N773" s="28"/>
    </row>
    <row r="774">
      <c r="N774" s="28"/>
    </row>
    <row r="775">
      <c r="N775" s="28"/>
    </row>
    <row r="776">
      <c r="N776" s="28"/>
    </row>
    <row r="777">
      <c r="N777" s="28"/>
    </row>
    <row r="778">
      <c r="N778" s="28"/>
    </row>
    <row r="779">
      <c r="N779" s="28"/>
    </row>
    <row r="780">
      <c r="N780" s="28"/>
    </row>
    <row r="781">
      <c r="N781" s="28"/>
    </row>
    <row r="782">
      <c r="N782" s="28"/>
    </row>
    <row r="783">
      <c r="N783" s="28"/>
    </row>
    <row r="784">
      <c r="N784" s="28"/>
    </row>
    <row r="785">
      <c r="N785" s="28"/>
    </row>
    <row r="786">
      <c r="N786" s="28"/>
    </row>
    <row r="787">
      <c r="N787" s="28"/>
    </row>
    <row r="788">
      <c r="N788" s="28"/>
    </row>
    <row r="789">
      <c r="N789" s="28"/>
    </row>
    <row r="790">
      <c r="N790" s="28"/>
    </row>
    <row r="791">
      <c r="N791" s="28"/>
    </row>
    <row r="792">
      <c r="N792" s="28"/>
    </row>
    <row r="793">
      <c r="N793" s="28"/>
    </row>
    <row r="794">
      <c r="N794" s="28"/>
    </row>
    <row r="795">
      <c r="N795" s="28"/>
    </row>
    <row r="796">
      <c r="N796" s="28"/>
    </row>
    <row r="797">
      <c r="N797" s="28"/>
    </row>
    <row r="798">
      <c r="N798" s="28"/>
    </row>
    <row r="799">
      <c r="N799" s="28"/>
    </row>
    <row r="800">
      <c r="N800" s="28"/>
    </row>
    <row r="801">
      <c r="N801" s="28"/>
    </row>
    <row r="802">
      <c r="N802" s="28"/>
    </row>
    <row r="803">
      <c r="N803" s="28"/>
    </row>
    <row r="804">
      <c r="N804" s="28"/>
    </row>
    <row r="805">
      <c r="N805" s="28"/>
    </row>
    <row r="806">
      <c r="N806" s="28"/>
    </row>
    <row r="807">
      <c r="N807" s="28"/>
    </row>
    <row r="808">
      <c r="N808" s="28"/>
    </row>
    <row r="809">
      <c r="N809" s="28"/>
    </row>
    <row r="810">
      <c r="N810" s="28"/>
    </row>
    <row r="811">
      <c r="N811" s="28"/>
    </row>
    <row r="812">
      <c r="N812" s="28"/>
    </row>
    <row r="813">
      <c r="N813" s="28"/>
    </row>
    <row r="814">
      <c r="N814" s="28"/>
    </row>
    <row r="815">
      <c r="N815" s="28"/>
    </row>
    <row r="816">
      <c r="N816" s="28"/>
    </row>
    <row r="817">
      <c r="N817" s="28"/>
    </row>
    <row r="818">
      <c r="N818" s="28"/>
    </row>
    <row r="819">
      <c r="N819" s="28"/>
    </row>
    <row r="820">
      <c r="N820" s="28"/>
    </row>
    <row r="821">
      <c r="N821" s="28"/>
    </row>
    <row r="822">
      <c r="N822" s="28"/>
    </row>
    <row r="823">
      <c r="N823" s="28"/>
    </row>
    <row r="824">
      <c r="N824" s="28"/>
    </row>
    <row r="825">
      <c r="N825" s="28"/>
    </row>
    <row r="826">
      <c r="N826" s="28"/>
    </row>
    <row r="827">
      <c r="N827" s="28"/>
    </row>
    <row r="828">
      <c r="N828" s="28"/>
    </row>
    <row r="829">
      <c r="N829" s="28"/>
    </row>
    <row r="830">
      <c r="N830" s="28"/>
    </row>
    <row r="831">
      <c r="N831" s="28"/>
    </row>
    <row r="832">
      <c r="N832" s="28"/>
    </row>
    <row r="833">
      <c r="N833" s="28"/>
    </row>
    <row r="834">
      <c r="N834" s="28"/>
    </row>
    <row r="835">
      <c r="N835" s="28"/>
    </row>
    <row r="836">
      <c r="N836" s="28"/>
    </row>
    <row r="837">
      <c r="N837" s="28"/>
    </row>
    <row r="838">
      <c r="N838" s="28"/>
    </row>
    <row r="839">
      <c r="N839" s="28"/>
    </row>
    <row r="840">
      <c r="N840" s="28"/>
    </row>
    <row r="841">
      <c r="N841" s="28"/>
    </row>
    <row r="842">
      <c r="N842" s="28"/>
    </row>
    <row r="843">
      <c r="N843" s="28"/>
    </row>
    <row r="844">
      <c r="N844" s="28"/>
    </row>
    <row r="845">
      <c r="N845" s="28"/>
    </row>
    <row r="846">
      <c r="N846" s="28"/>
    </row>
    <row r="847">
      <c r="N847" s="28"/>
    </row>
    <row r="848">
      <c r="N848" s="28"/>
    </row>
    <row r="849">
      <c r="N849" s="28"/>
    </row>
    <row r="850">
      <c r="N850" s="28"/>
    </row>
    <row r="851">
      <c r="N851" s="28"/>
    </row>
    <row r="852">
      <c r="N852" s="28"/>
    </row>
    <row r="853">
      <c r="N853" s="28"/>
    </row>
    <row r="854">
      <c r="N854" s="28"/>
    </row>
    <row r="855">
      <c r="N855" s="28"/>
    </row>
    <row r="856">
      <c r="N856" s="28"/>
    </row>
    <row r="857">
      <c r="N857" s="28"/>
    </row>
    <row r="858">
      <c r="N858" s="28"/>
    </row>
    <row r="859">
      <c r="N859" s="28"/>
    </row>
    <row r="860">
      <c r="N860" s="28"/>
    </row>
    <row r="861">
      <c r="N861" s="28"/>
    </row>
    <row r="862">
      <c r="N862" s="28"/>
    </row>
    <row r="863">
      <c r="N863" s="28"/>
    </row>
    <row r="864">
      <c r="N864" s="28"/>
    </row>
    <row r="865">
      <c r="N865" s="28"/>
    </row>
    <row r="866">
      <c r="N866" s="28"/>
    </row>
    <row r="867">
      <c r="N867" s="28"/>
    </row>
    <row r="868">
      <c r="N868" s="28"/>
    </row>
    <row r="869">
      <c r="N869" s="28"/>
    </row>
    <row r="870">
      <c r="N870" s="28"/>
    </row>
    <row r="871">
      <c r="N871" s="28"/>
    </row>
    <row r="872">
      <c r="N872" s="28"/>
    </row>
    <row r="873">
      <c r="N873" s="28"/>
    </row>
    <row r="874">
      <c r="N874" s="28"/>
    </row>
    <row r="875">
      <c r="N875" s="28"/>
    </row>
    <row r="876">
      <c r="N876" s="28"/>
    </row>
    <row r="877">
      <c r="N877" s="28"/>
    </row>
    <row r="878">
      <c r="N878" s="28"/>
    </row>
    <row r="879">
      <c r="N879" s="28"/>
    </row>
    <row r="880">
      <c r="N880" s="28"/>
    </row>
    <row r="881">
      <c r="N881" s="28"/>
    </row>
    <row r="882">
      <c r="N882" s="28"/>
    </row>
    <row r="883">
      <c r="N883" s="28"/>
    </row>
    <row r="884">
      <c r="N884" s="28"/>
    </row>
    <row r="885">
      <c r="N885" s="28"/>
    </row>
    <row r="886">
      <c r="N886" s="28"/>
    </row>
    <row r="887">
      <c r="N887" s="28"/>
    </row>
    <row r="888">
      <c r="N888" s="28"/>
    </row>
    <row r="889">
      <c r="N889" s="28"/>
    </row>
    <row r="890">
      <c r="N890" s="28"/>
    </row>
    <row r="891">
      <c r="N891" s="28"/>
    </row>
    <row r="892">
      <c r="N892" s="28"/>
    </row>
    <row r="893">
      <c r="N893" s="28"/>
    </row>
    <row r="894">
      <c r="N894" s="28"/>
    </row>
    <row r="895">
      <c r="N895" s="28"/>
    </row>
    <row r="896">
      <c r="N896" s="28"/>
    </row>
    <row r="897">
      <c r="N897" s="28"/>
    </row>
    <row r="898">
      <c r="N898" s="28"/>
    </row>
    <row r="899">
      <c r="N899" s="28"/>
    </row>
    <row r="900">
      <c r="N900" s="28"/>
    </row>
    <row r="901">
      <c r="N901" s="28"/>
    </row>
    <row r="902">
      <c r="N902" s="28"/>
    </row>
    <row r="903">
      <c r="N903" s="28"/>
    </row>
    <row r="904">
      <c r="N904" s="28"/>
    </row>
    <row r="905">
      <c r="N905" s="28"/>
    </row>
    <row r="906">
      <c r="N906" s="28"/>
    </row>
    <row r="907">
      <c r="N907" s="28"/>
    </row>
    <row r="908">
      <c r="N908" s="28"/>
    </row>
    <row r="909">
      <c r="N909" s="28"/>
    </row>
    <row r="910">
      <c r="N910" s="28"/>
    </row>
    <row r="911">
      <c r="N911" s="28"/>
    </row>
    <row r="912">
      <c r="N912" s="28"/>
    </row>
    <row r="913">
      <c r="N913" s="28"/>
    </row>
    <row r="914">
      <c r="N914" s="28"/>
    </row>
    <row r="915">
      <c r="N915" s="28"/>
    </row>
    <row r="916">
      <c r="N916" s="28"/>
    </row>
    <row r="917">
      <c r="N917" s="28"/>
    </row>
    <row r="918">
      <c r="N918" s="28"/>
    </row>
    <row r="919">
      <c r="N919" s="28"/>
    </row>
    <row r="920">
      <c r="N920" s="28"/>
    </row>
    <row r="921">
      <c r="N921" s="28"/>
    </row>
    <row r="922">
      <c r="N922" s="28"/>
    </row>
    <row r="923">
      <c r="N923" s="28"/>
    </row>
    <row r="924">
      <c r="N924" s="28"/>
    </row>
    <row r="925">
      <c r="N925" s="28"/>
    </row>
    <row r="926">
      <c r="N926" s="28"/>
    </row>
    <row r="927">
      <c r="N927" s="28"/>
    </row>
    <row r="928">
      <c r="N928" s="28"/>
    </row>
    <row r="929">
      <c r="N929" s="28"/>
    </row>
    <row r="930">
      <c r="N930" s="28"/>
    </row>
    <row r="931">
      <c r="N931" s="28"/>
    </row>
    <row r="932">
      <c r="N932" s="28"/>
    </row>
    <row r="933">
      <c r="N933" s="28"/>
    </row>
    <row r="934">
      <c r="N934" s="28"/>
    </row>
    <row r="935">
      <c r="N935" s="28"/>
    </row>
    <row r="936">
      <c r="N936" s="28"/>
    </row>
    <row r="937">
      <c r="N937" s="28"/>
    </row>
    <row r="938">
      <c r="N938" s="28"/>
    </row>
    <row r="939">
      <c r="N939" s="28"/>
    </row>
    <row r="940">
      <c r="N940" s="28"/>
    </row>
    <row r="941">
      <c r="N941" s="28"/>
    </row>
    <row r="942">
      <c r="N942" s="28"/>
    </row>
    <row r="943">
      <c r="N943" s="28"/>
    </row>
    <row r="944">
      <c r="N944" s="28"/>
    </row>
    <row r="945">
      <c r="N945" s="28"/>
    </row>
    <row r="946">
      <c r="N946" s="28"/>
    </row>
    <row r="947">
      <c r="N947" s="28"/>
    </row>
    <row r="948">
      <c r="N948" s="28"/>
    </row>
    <row r="949">
      <c r="N949" s="28"/>
    </row>
    <row r="950">
      <c r="N950" s="28"/>
    </row>
    <row r="951">
      <c r="N951" s="28"/>
    </row>
    <row r="952">
      <c r="N952" s="28"/>
    </row>
    <row r="953">
      <c r="N953" s="28"/>
    </row>
    <row r="954">
      <c r="N954" s="28"/>
    </row>
    <row r="955">
      <c r="N955" s="28"/>
    </row>
    <row r="956">
      <c r="N956" s="28"/>
    </row>
    <row r="957">
      <c r="N957" s="28"/>
    </row>
    <row r="958">
      <c r="N958" s="28"/>
    </row>
    <row r="959">
      <c r="N959" s="28"/>
    </row>
    <row r="960">
      <c r="N960" s="28"/>
    </row>
    <row r="961">
      <c r="N961" s="28"/>
    </row>
    <row r="962">
      <c r="N962" s="28"/>
    </row>
    <row r="963">
      <c r="N963" s="28"/>
    </row>
    <row r="964">
      <c r="N964" s="28"/>
    </row>
    <row r="965">
      <c r="N965" s="28"/>
    </row>
    <row r="966">
      <c r="N966" s="28"/>
    </row>
    <row r="967">
      <c r="N967" s="28"/>
    </row>
    <row r="968">
      <c r="N968" s="28"/>
    </row>
    <row r="969">
      <c r="N969" s="28"/>
    </row>
    <row r="970">
      <c r="N970" s="28"/>
    </row>
    <row r="971">
      <c r="N971" s="28"/>
    </row>
    <row r="972">
      <c r="N972" s="28"/>
    </row>
    <row r="973">
      <c r="N973" s="28"/>
    </row>
    <row r="974">
      <c r="N974" s="28"/>
    </row>
    <row r="975">
      <c r="N975" s="28"/>
    </row>
    <row r="976">
      <c r="N976" s="28"/>
    </row>
    <row r="977">
      <c r="N977" s="28"/>
    </row>
    <row r="978">
      <c r="N978" s="28"/>
    </row>
    <row r="979">
      <c r="N979" s="28"/>
    </row>
    <row r="980">
      <c r="N980" s="28"/>
    </row>
    <row r="981">
      <c r="N981" s="28"/>
    </row>
    <row r="982">
      <c r="N982" s="28"/>
    </row>
    <row r="983">
      <c r="N983" s="28"/>
    </row>
    <row r="984">
      <c r="N984" s="28"/>
    </row>
    <row r="985">
      <c r="N985" s="28"/>
    </row>
    <row r="986">
      <c r="N986" s="28"/>
    </row>
    <row r="987">
      <c r="N987" s="28"/>
    </row>
    <row r="988">
      <c r="N988" s="28"/>
    </row>
    <row r="989">
      <c r="N989" s="28"/>
    </row>
    <row r="990">
      <c r="N990" s="28"/>
    </row>
    <row r="991">
      <c r="N991" s="28"/>
    </row>
    <row r="992">
      <c r="N992" s="28"/>
    </row>
    <row r="993">
      <c r="N993" s="28"/>
    </row>
    <row r="994">
      <c r="N994" s="28"/>
    </row>
    <row r="995">
      <c r="N995" s="28"/>
    </row>
    <row r="996">
      <c r="N996" s="28"/>
    </row>
    <row r="997">
      <c r="N997" s="28"/>
    </row>
    <row r="998">
      <c r="N998" s="28"/>
    </row>
    <row r="999">
      <c r="N999" s="28"/>
    </row>
    <row r="1000">
      <c r="N1000" s="28"/>
    </row>
    <row r="1001">
      <c r="N1001" s="28"/>
    </row>
    <row r="1002">
      <c r="N1002" s="28"/>
    </row>
    <row r="1003">
      <c r="N1003" s="28"/>
    </row>
  </sheetData>
  <conditionalFormatting sqref="G1:G1003">
    <cfRule type="cellIs" dxfId="4" priority="1" operator="equal">
      <formula>"Yes"</formula>
    </cfRule>
  </conditionalFormatting>
  <conditionalFormatting sqref="H1:H1003">
    <cfRule type="cellIs" dxfId="4" priority="2" operator="equal">
      <formula>"No"</formula>
    </cfRule>
  </conditionalFormatting>
  <hyperlinks>
    <hyperlink r:id="rId1" ref="L5"/>
    <hyperlink r:id="rId2" ref="L7"/>
    <hyperlink r:id="rId3" ref="L8"/>
    <hyperlink r:id="rId4" ref="L10"/>
    <hyperlink r:id="rId5" ref="L12"/>
    <hyperlink r:id="rId6" ref="L13"/>
    <hyperlink r:id="rId7" ref="L15"/>
    <hyperlink r:id="rId8" ref="L17"/>
    <hyperlink r:id="rId9" ref="L20"/>
    <hyperlink r:id="rId10" ref="L21"/>
    <hyperlink r:id="rId11" ref="L22"/>
    <hyperlink r:id="rId12" ref="L23"/>
    <hyperlink r:id="rId13" ref="L29"/>
    <hyperlink r:id="rId14" ref="L31"/>
    <hyperlink r:id="rId15" ref="L32"/>
    <hyperlink r:id="rId16" ref="L34"/>
    <hyperlink r:id="rId17" ref="L35"/>
    <hyperlink r:id="rId18" ref="L36"/>
    <hyperlink r:id="rId19" ref="L38"/>
    <hyperlink r:id="rId20" ref="L39"/>
    <hyperlink r:id="rId21" ref="L40"/>
    <hyperlink r:id="rId22" ref="L41"/>
    <hyperlink r:id="rId23" ref="L44"/>
    <hyperlink r:id="rId24" ref="L47"/>
    <hyperlink r:id="rId25" ref="L48"/>
    <hyperlink r:id="rId26" ref="L49"/>
    <hyperlink r:id="rId27" ref="L50"/>
    <hyperlink r:id="rId28" ref="L51"/>
    <hyperlink r:id="rId29" ref="L52"/>
    <hyperlink r:id="rId30" ref="L53"/>
    <hyperlink r:id="rId31" ref="L54"/>
    <hyperlink r:id="rId32" ref="L55"/>
    <hyperlink r:id="rId33" ref="L56"/>
    <hyperlink r:id="rId34" ref="L57"/>
    <hyperlink r:id="rId35" ref="L58"/>
    <hyperlink r:id="rId36" ref="L59"/>
    <hyperlink r:id="rId37" ref="L62"/>
    <hyperlink r:id="rId38" ref="L64"/>
    <hyperlink r:id="rId39" ref="L65"/>
    <hyperlink r:id="rId40" ref="L66"/>
    <hyperlink r:id="rId41" ref="L67"/>
    <hyperlink r:id="rId42" ref="L69"/>
    <hyperlink r:id="rId43" ref="L70"/>
    <hyperlink r:id="rId44" ref="L72"/>
    <hyperlink r:id="rId45" ref="L73"/>
    <hyperlink r:id="rId46" ref="L74"/>
    <hyperlink r:id="rId47" ref="L76"/>
    <hyperlink r:id="rId48" ref="L79"/>
    <hyperlink r:id="rId49" ref="L83"/>
    <hyperlink r:id="rId50" ref="L84"/>
    <hyperlink r:id="rId51" ref="L87"/>
    <hyperlink r:id="rId52" ref="L88"/>
    <hyperlink r:id="rId53" ref="L90"/>
    <hyperlink r:id="rId54" ref="L94"/>
    <hyperlink r:id="rId55" ref="L97"/>
  </hyperlinks>
  <drawing r:id="rId56"/>
</worksheet>
</file>